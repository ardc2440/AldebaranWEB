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 firstSheet="1" activeTab="2"/>
  </bookViews>
  <sheets>
    <sheet name="Parametros" sheetId="1" r:id="rId1"/>
    <sheet name="01-01 - Lista de facturación p" sheetId="2" r:id="rId2"/>
    <sheet name="01-01 - Lista de facturació (2" sheetId="3" r:id="rId3"/>
    <sheet name="Hoja1" sheetId="4" r:id="rId4"/>
    <sheet name="Hoja2" sheetId="5" r:id="rId5"/>
  </sheets>
  <definedNames>
    <definedName name="_xlnm._FilterDatabase" localSheetId="2" hidden="1">'01-01 - Lista de facturació (2'!$A$1:$N$198</definedName>
  </definedNames>
  <calcPr calcId="145621"/>
</workbook>
</file>

<file path=xl/calcChain.xml><?xml version="1.0" encoding="utf-8"?>
<calcChain xmlns="http://schemas.openxmlformats.org/spreadsheetml/2006/main">
  <c r="L48" i="3" l="1"/>
  <c r="J48" i="3"/>
  <c r="N48" i="3" s="1"/>
  <c r="N52" i="5" l="1"/>
  <c r="F50" i="5"/>
  <c r="J50" i="5" s="1"/>
  <c r="L50" i="5" s="1"/>
  <c r="J49" i="5"/>
  <c r="L49" i="5" s="1"/>
  <c r="F49" i="5"/>
  <c r="J48" i="5"/>
  <c r="L48" i="5" s="1"/>
  <c r="F48" i="5"/>
  <c r="J47" i="5"/>
  <c r="L47" i="5" s="1"/>
  <c r="F47" i="5"/>
  <c r="J46" i="5"/>
  <c r="L46" i="5" s="1"/>
  <c r="F46" i="5"/>
  <c r="J45" i="5"/>
  <c r="L45" i="5" s="1"/>
  <c r="F45" i="5"/>
  <c r="J44" i="5"/>
  <c r="L44" i="5" s="1"/>
  <c r="F44" i="5"/>
  <c r="J43" i="5"/>
  <c r="L43" i="5" s="1"/>
  <c r="F43" i="5"/>
  <c r="J42" i="5"/>
  <c r="L42" i="5" s="1"/>
  <c r="F42" i="5"/>
  <c r="J41" i="5"/>
  <c r="L41" i="5" s="1"/>
  <c r="F41" i="5"/>
  <c r="J40" i="5"/>
  <c r="L40" i="5" s="1"/>
  <c r="F40" i="5"/>
  <c r="J39" i="5"/>
  <c r="L39" i="5" s="1"/>
  <c r="F39" i="5"/>
  <c r="J38" i="5"/>
  <c r="L38" i="5" s="1"/>
  <c r="F38" i="5"/>
  <c r="J37" i="5"/>
  <c r="L37" i="5" s="1"/>
  <c r="F37" i="5"/>
  <c r="J36" i="5"/>
  <c r="L36" i="5" s="1"/>
  <c r="F36" i="5"/>
  <c r="J35" i="5"/>
  <c r="L35" i="5" s="1"/>
  <c r="F35" i="5"/>
  <c r="J34" i="5"/>
  <c r="L34" i="5" s="1"/>
  <c r="F34" i="5"/>
  <c r="J33" i="5"/>
  <c r="L33" i="5" s="1"/>
  <c r="F33" i="5"/>
  <c r="J32" i="5"/>
  <c r="L32" i="5" s="1"/>
  <c r="F32" i="5"/>
  <c r="J31" i="5"/>
  <c r="L31" i="5" s="1"/>
  <c r="F31" i="5"/>
  <c r="J30" i="5"/>
  <c r="L30" i="5" s="1"/>
  <c r="F30" i="5"/>
  <c r="J29" i="5"/>
  <c r="L29" i="5" s="1"/>
  <c r="F29" i="5"/>
  <c r="J28" i="5"/>
  <c r="L28" i="5" s="1"/>
  <c r="F28" i="5"/>
  <c r="J27" i="5"/>
  <c r="L27" i="5" s="1"/>
  <c r="F27" i="5"/>
  <c r="J26" i="5"/>
  <c r="L26" i="5" s="1"/>
  <c r="F26" i="5"/>
  <c r="J25" i="5"/>
  <c r="L25" i="5" s="1"/>
  <c r="F25" i="5"/>
  <c r="J24" i="5"/>
  <c r="L24" i="5" s="1"/>
  <c r="F24" i="5"/>
  <c r="J23" i="5"/>
  <c r="L23" i="5" s="1"/>
  <c r="F23" i="5"/>
  <c r="J22" i="5"/>
  <c r="L22" i="5" s="1"/>
  <c r="F22" i="5"/>
  <c r="J21" i="5"/>
  <c r="L21" i="5" s="1"/>
  <c r="F21" i="5"/>
  <c r="J20" i="5"/>
  <c r="L20" i="5" s="1"/>
  <c r="F20" i="5"/>
  <c r="J19" i="5"/>
  <c r="L19" i="5" s="1"/>
  <c r="F19" i="5"/>
  <c r="J18" i="5"/>
  <c r="L18" i="5" s="1"/>
  <c r="F18" i="5"/>
  <c r="J17" i="5"/>
  <c r="L17" i="5" s="1"/>
  <c r="F17" i="5"/>
  <c r="J16" i="5"/>
  <c r="L16" i="5" s="1"/>
  <c r="F16" i="5"/>
  <c r="J15" i="5"/>
  <c r="L15" i="5" s="1"/>
  <c r="F15" i="5"/>
  <c r="J14" i="5"/>
  <c r="L14" i="5" s="1"/>
  <c r="F14" i="5"/>
  <c r="J13" i="5"/>
  <c r="L13" i="5" s="1"/>
  <c r="F13" i="5"/>
  <c r="J12" i="5"/>
  <c r="L12" i="5" s="1"/>
  <c r="F12" i="5"/>
  <c r="J11" i="5"/>
  <c r="L11" i="5" s="1"/>
  <c r="F11" i="5"/>
  <c r="J10" i="5"/>
  <c r="L10" i="5" s="1"/>
  <c r="F10" i="5"/>
  <c r="J9" i="5"/>
  <c r="L9" i="5" s="1"/>
  <c r="F9" i="5"/>
  <c r="J8" i="5"/>
  <c r="L8" i="5" s="1"/>
  <c r="F8" i="5"/>
  <c r="J7" i="5"/>
  <c r="L7" i="5" s="1"/>
  <c r="F7" i="5"/>
  <c r="J6" i="5"/>
  <c r="L6" i="5" s="1"/>
  <c r="F6" i="5"/>
  <c r="J5" i="5"/>
  <c r="L5" i="5" s="1"/>
  <c r="F5" i="5"/>
  <c r="J4" i="5"/>
  <c r="L4" i="5" s="1"/>
  <c r="F4" i="5"/>
  <c r="J3" i="5"/>
  <c r="L3" i="5" s="1"/>
  <c r="F3" i="5"/>
  <c r="J2" i="5"/>
  <c r="L2" i="5" s="1"/>
  <c r="F2" i="5"/>
  <c r="N2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J200" i="3"/>
  <c r="Q7" i="3" l="1"/>
  <c r="L196" i="4"/>
  <c r="F196" i="4"/>
  <c r="J196" i="4" s="1"/>
  <c r="J195" i="4"/>
  <c r="L195" i="4" s="1"/>
  <c r="F195" i="4"/>
  <c r="F194" i="4"/>
  <c r="J194" i="4" s="1"/>
  <c r="L194" i="4" s="1"/>
  <c r="J193" i="4"/>
  <c r="L193" i="4" s="1"/>
  <c r="F193" i="4"/>
  <c r="F192" i="4"/>
  <c r="J192" i="4" s="1"/>
  <c r="L192" i="4" s="1"/>
  <c r="J191" i="4"/>
  <c r="L191" i="4" s="1"/>
  <c r="F191" i="4"/>
  <c r="F190" i="4"/>
  <c r="J190" i="4" s="1"/>
  <c r="L190" i="4" s="1"/>
  <c r="J189" i="4"/>
  <c r="L189" i="4" s="1"/>
  <c r="F189" i="4"/>
  <c r="L188" i="4"/>
  <c r="F188" i="4"/>
  <c r="J188" i="4" s="1"/>
  <c r="J187" i="4"/>
  <c r="L187" i="4" s="1"/>
  <c r="F187" i="4"/>
  <c r="F186" i="4"/>
  <c r="J186" i="4" s="1"/>
  <c r="L186" i="4" s="1"/>
  <c r="J185" i="4"/>
  <c r="L185" i="4" s="1"/>
  <c r="F185" i="4"/>
  <c r="F184" i="4"/>
  <c r="J184" i="4" s="1"/>
  <c r="L184" i="4" s="1"/>
  <c r="J183" i="4"/>
  <c r="L183" i="4" s="1"/>
  <c r="F183" i="4"/>
  <c r="F182" i="4"/>
  <c r="J182" i="4" s="1"/>
  <c r="L182" i="4" s="1"/>
  <c r="J181" i="4"/>
  <c r="L181" i="4" s="1"/>
  <c r="F181" i="4"/>
  <c r="L180" i="4"/>
  <c r="F180" i="4"/>
  <c r="J180" i="4" s="1"/>
  <c r="J179" i="4"/>
  <c r="L179" i="4" s="1"/>
  <c r="F179" i="4"/>
  <c r="F178" i="4"/>
  <c r="J178" i="4" s="1"/>
  <c r="L178" i="4" s="1"/>
  <c r="J177" i="4"/>
  <c r="L177" i="4" s="1"/>
  <c r="F177" i="4"/>
  <c r="F176" i="4"/>
  <c r="J176" i="4" s="1"/>
  <c r="L176" i="4" s="1"/>
  <c r="J175" i="4"/>
  <c r="L175" i="4" s="1"/>
  <c r="F175" i="4"/>
  <c r="F174" i="4"/>
  <c r="J174" i="4" s="1"/>
  <c r="L174" i="4" s="1"/>
  <c r="J173" i="4"/>
  <c r="L173" i="4" s="1"/>
  <c r="F173" i="4"/>
  <c r="L172" i="4"/>
  <c r="F172" i="4"/>
  <c r="J172" i="4" s="1"/>
  <c r="J171" i="4"/>
  <c r="L171" i="4" s="1"/>
  <c r="F171" i="4"/>
  <c r="F170" i="4"/>
  <c r="J170" i="4" s="1"/>
  <c r="L170" i="4" s="1"/>
  <c r="J169" i="4"/>
  <c r="L169" i="4" s="1"/>
  <c r="F169" i="4"/>
  <c r="F168" i="4"/>
  <c r="J168" i="4" s="1"/>
  <c r="L168" i="4" s="1"/>
  <c r="J167" i="4"/>
  <c r="L167" i="4" s="1"/>
  <c r="F167" i="4"/>
  <c r="F166" i="4"/>
  <c r="J166" i="4" s="1"/>
  <c r="L166" i="4" s="1"/>
  <c r="J165" i="4"/>
  <c r="L165" i="4" s="1"/>
  <c r="F165" i="4"/>
  <c r="L164" i="4"/>
  <c r="F164" i="4"/>
  <c r="J164" i="4" s="1"/>
  <c r="J163" i="4"/>
  <c r="L163" i="4" s="1"/>
  <c r="F163" i="4"/>
  <c r="F162" i="4"/>
  <c r="J162" i="4" s="1"/>
  <c r="L162" i="4" s="1"/>
  <c r="J161" i="4"/>
  <c r="L161" i="4" s="1"/>
  <c r="F161" i="4"/>
  <c r="F160" i="4"/>
  <c r="J160" i="4" s="1"/>
  <c r="L160" i="4" s="1"/>
  <c r="J159" i="4"/>
  <c r="L159" i="4" s="1"/>
  <c r="F159" i="4"/>
  <c r="F158" i="4"/>
  <c r="J158" i="4" s="1"/>
  <c r="L158" i="4" s="1"/>
  <c r="J157" i="4"/>
  <c r="L157" i="4" s="1"/>
  <c r="F157" i="4"/>
  <c r="L156" i="4"/>
  <c r="F156" i="4"/>
  <c r="J156" i="4" s="1"/>
  <c r="J155" i="4"/>
  <c r="L155" i="4" s="1"/>
  <c r="F155" i="4"/>
  <c r="F154" i="4"/>
  <c r="J154" i="4" s="1"/>
  <c r="L154" i="4" s="1"/>
  <c r="J153" i="4"/>
  <c r="L153" i="4" s="1"/>
  <c r="F153" i="4"/>
  <c r="F152" i="4"/>
  <c r="J152" i="4" s="1"/>
  <c r="L152" i="4" s="1"/>
  <c r="J151" i="4"/>
  <c r="L151" i="4" s="1"/>
  <c r="F151" i="4"/>
  <c r="F150" i="4"/>
  <c r="J150" i="4" s="1"/>
  <c r="L150" i="4" s="1"/>
  <c r="J149" i="4"/>
  <c r="L149" i="4" s="1"/>
  <c r="F149" i="4"/>
  <c r="L148" i="4"/>
  <c r="F148" i="4"/>
  <c r="J148" i="4" s="1"/>
  <c r="J147" i="4"/>
  <c r="L147" i="4" s="1"/>
  <c r="F147" i="4"/>
  <c r="F146" i="4"/>
  <c r="J146" i="4" s="1"/>
  <c r="L146" i="4" s="1"/>
  <c r="J145" i="4"/>
  <c r="L145" i="4" s="1"/>
  <c r="F145" i="4"/>
  <c r="F144" i="4"/>
  <c r="J144" i="4" s="1"/>
  <c r="L144" i="4" s="1"/>
  <c r="J143" i="4"/>
  <c r="L143" i="4" s="1"/>
  <c r="F143" i="4"/>
  <c r="F142" i="4"/>
  <c r="J142" i="4" s="1"/>
  <c r="L142" i="4" s="1"/>
  <c r="J141" i="4"/>
  <c r="L141" i="4" s="1"/>
  <c r="F141" i="4"/>
  <c r="L140" i="4"/>
  <c r="F140" i="4"/>
  <c r="J140" i="4" s="1"/>
  <c r="J139" i="4"/>
  <c r="L139" i="4" s="1"/>
  <c r="F139" i="4"/>
  <c r="F138" i="4"/>
  <c r="J138" i="4" s="1"/>
  <c r="L138" i="4" s="1"/>
  <c r="J137" i="4"/>
  <c r="L137" i="4" s="1"/>
  <c r="F137" i="4"/>
  <c r="F136" i="4"/>
  <c r="J136" i="4" s="1"/>
  <c r="L136" i="4" s="1"/>
  <c r="J135" i="4"/>
  <c r="L135" i="4" s="1"/>
  <c r="F135" i="4"/>
  <c r="F134" i="4"/>
  <c r="J134" i="4" s="1"/>
  <c r="L134" i="4" s="1"/>
  <c r="J133" i="4"/>
  <c r="L133" i="4" s="1"/>
  <c r="F133" i="4"/>
  <c r="L132" i="4"/>
  <c r="F132" i="4"/>
  <c r="J132" i="4" s="1"/>
  <c r="J131" i="4"/>
  <c r="L131" i="4" s="1"/>
  <c r="F131" i="4"/>
  <c r="F130" i="4"/>
  <c r="J130" i="4" s="1"/>
  <c r="L130" i="4" s="1"/>
  <c r="J129" i="4"/>
  <c r="L129" i="4" s="1"/>
  <c r="F129" i="4"/>
  <c r="F128" i="4"/>
  <c r="J128" i="4" s="1"/>
  <c r="L128" i="4" s="1"/>
  <c r="J127" i="4"/>
  <c r="L127" i="4" s="1"/>
  <c r="F127" i="4"/>
  <c r="F126" i="4"/>
  <c r="J126" i="4" s="1"/>
  <c r="L126" i="4" s="1"/>
  <c r="J125" i="4"/>
  <c r="L125" i="4" s="1"/>
  <c r="F125" i="4"/>
  <c r="L124" i="4"/>
  <c r="F124" i="4"/>
  <c r="J124" i="4" s="1"/>
  <c r="J123" i="4"/>
  <c r="L123" i="4" s="1"/>
  <c r="F123" i="4"/>
  <c r="F122" i="4"/>
  <c r="J122" i="4" s="1"/>
  <c r="L122" i="4" s="1"/>
  <c r="J121" i="4"/>
  <c r="L121" i="4" s="1"/>
  <c r="F121" i="4"/>
  <c r="F120" i="4"/>
  <c r="J120" i="4" s="1"/>
  <c r="L120" i="4" s="1"/>
  <c r="J119" i="4"/>
  <c r="L119" i="4" s="1"/>
  <c r="F119" i="4"/>
  <c r="F118" i="4"/>
  <c r="J118" i="4" s="1"/>
  <c r="L118" i="4" s="1"/>
  <c r="J117" i="4"/>
  <c r="L117" i="4" s="1"/>
  <c r="F117" i="4"/>
  <c r="L116" i="4"/>
  <c r="F116" i="4"/>
  <c r="J116" i="4" s="1"/>
  <c r="J115" i="4"/>
  <c r="L115" i="4" s="1"/>
  <c r="F115" i="4"/>
  <c r="F114" i="4"/>
  <c r="J114" i="4" s="1"/>
  <c r="L114" i="4" s="1"/>
  <c r="J113" i="4"/>
  <c r="L113" i="4" s="1"/>
  <c r="F113" i="4"/>
  <c r="F112" i="4"/>
  <c r="J112" i="4" s="1"/>
  <c r="L112" i="4" s="1"/>
  <c r="J111" i="4"/>
  <c r="L111" i="4" s="1"/>
  <c r="F111" i="4"/>
  <c r="F110" i="4"/>
  <c r="J110" i="4" s="1"/>
  <c r="L110" i="4" s="1"/>
  <c r="J109" i="4"/>
  <c r="L109" i="4" s="1"/>
  <c r="F109" i="4"/>
  <c r="L108" i="4"/>
  <c r="F108" i="4"/>
  <c r="J108" i="4" s="1"/>
  <c r="J107" i="4"/>
  <c r="L107" i="4" s="1"/>
  <c r="F107" i="4"/>
  <c r="F106" i="4"/>
  <c r="J106" i="4" s="1"/>
  <c r="L106" i="4" s="1"/>
  <c r="J105" i="4"/>
  <c r="L105" i="4" s="1"/>
  <c r="F105" i="4"/>
  <c r="F104" i="4"/>
  <c r="J104" i="4" s="1"/>
  <c r="L104" i="4" s="1"/>
  <c r="J103" i="4"/>
  <c r="L103" i="4" s="1"/>
  <c r="F103" i="4"/>
  <c r="F102" i="4"/>
  <c r="J102" i="4" s="1"/>
  <c r="L102" i="4" s="1"/>
  <c r="J101" i="4"/>
  <c r="L101" i="4" s="1"/>
  <c r="F101" i="4"/>
  <c r="L100" i="4"/>
  <c r="F100" i="4"/>
  <c r="J100" i="4" s="1"/>
  <c r="J99" i="4"/>
  <c r="L99" i="4" s="1"/>
  <c r="F99" i="4"/>
  <c r="F98" i="4"/>
  <c r="J98" i="4" s="1"/>
  <c r="L98" i="4" s="1"/>
  <c r="J97" i="4"/>
  <c r="L97" i="4" s="1"/>
  <c r="F97" i="4"/>
  <c r="F96" i="4"/>
  <c r="J96" i="4" s="1"/>
  <c r="L96" i="4" s="1"/>
  <c r="J95" i="4"/>
  <c r="L95" i="4" s="1"/>
  <c r="F95" i="4"/>
  <c r="F94" i="4"/>
  <c r="J94" i="4" s="1"/>
  <c r="L94" i="4" s="1"/>
  <c r="J93" i="4"/>
  <c r="L93" i="4" s="1"/>
  <c r="F93" i="4"/>
  <c r="L92" i="4"/>
  <c r="F92" i="4"/>
  <c r="J92" i="4" s="1"/>
  <c r="J91" i="4"/>
  <c r="L91" i="4" s="1"/>
  <c r="F91" i="4"/>
  <c r="F90" i="4"/>
  <c r="J90" i="4" s="1"/>
  <c r="L90" i="4" s="1"/>
  <c r="J89" i="4"/>
  <c r="L89" i="4" s="1"/>
  <c r="F89" i="4"/>
  <c r="F88" i="4"/>
  <c r="J88" i="4" s="1"/>
  <c r="L88" i="4" s="1"/>
  <c r="J87" i="4"/>
  <c r="L87" i="4" s="1"/>
  <c r="F87" i="4"/>
  <c r="F86" i="4"/>
  <c r="J86" i="4" s="1"/>
  <c r="L86" i="4" s="1"/>
  <c r="J85" i="4"/>
  <c r="L85" i="4" s="1"/>
  <c r="F85" i="4"/>
  <c r="L84" i="4"/>
  <c r="F84" i="4"/>
  <c r="J84" i="4" s="1"/>
  <c r="J83" i="4"/>
  <c r="L83" i="4" s="1"/>
  <c r="F83" i="4"/>
  <c r="F82" i="4"/>
  <c r="J82" i="4" s="1"/>
  <c r="L82" i="4" s="1"/>
  <c r="J81" i="4"/>
  <c r="L81" i="4" s="1"/>
  <c r="F81" i="4"/>
  <c r="F80" i="4"/>
  <c r="J80" i="4" s="1"/>
  <c r="L80" i="4" s="1"/>
  <c r="J79" i="4"/>
  <c r="L79" i="4" s="1"/>
  <c r="F79" i="4"/>
  <c r="F78" i="4"/>
  <c r="J78" i="4" s="1"/>
  <c r="L78" i="4" s="1"/>
  <c r="J77" i="4"/>
  <c r="L77" i="4" s="1"/>
  <c r="F77" i="4"/>
  <c r="L76" i="4"/>
  <c r="F76" i="4"/>
  <c r="J76" i="4" s="1"/>
  <c r="J75" i="4"/>
  <c r="L75" i="4" s="1"/>
  <c r="F75" i="4"/>
  <c r="F74" i="4"/>
  <c r="J74" i="4" s="1"/>
  <c r="L74" i="4" s="1"/>
  <c r="J73" i="4"/>
  <c r="L73" i="4" s="1"/>
  <c r="F73" i="4"/>
  <c r="F72" i="4"/>
  <c r="J72" i="4" s="1"/>
  <c r="L72" i="4" s="1"/>
  <c r="J71" i="4"/>
  <c r="L71" i="4" s="1"/>
  <c r="F71" i="4"/>
  <c r="F70" i="4"/>
  <c r="J70" i="4" s="1"/>
  <c r="L70" i="4" s="1"/>
  <c r="J69" i="4"/>
  <c r="L69" i="4" s="1"/>
  <c r="F69" i="4"/>
  <c r="L68" i="4"/>
  <c r="F68" i="4"/>
  <c r="J68" i="4" s="1"/>
  <c r="J67" i="4"/>
  <c r="L67" i="4" s="1"/>
  <c r="F67" i="4"/>
  <c r="F66" i="4"/>
  <c r="J66" i="4" s="1"/>
  <c r="L66" i="4" s="1"/>
  <c r="J65" i="4"/>
  <c r="L65" i="4" s="1"/>
  <c r="F65" i="4"/>
  <c r="F64" i="4"/>
  <c r="J64" i="4" s="1"/>
  <c r="L64" i="4" s="1"/>
  <c r="J63" i="4"/>
  <c r="L63" i="4" s="1"/>
  <c r="F63" i="4"/>
  <c r="F62" i="4"/>
  <c r="J62" i="4" s="1"/>
  <c r="L62" i="4" s="1"/>
  <c r="J61" i="4"/>
  <c r="L61" i="4" s="1"/>
  <c r="F61" i="4"/>
  <c r="L60" i="4"/>
  <c r="F60" i="4"/>
  <c r="J60" i="4" s="1"/>
  <c r="J59" i="4"/>
  <c r="L59" i="4" s="1"/>
  <c r="F59" i="4"/>
  <c r="F58" i="4"/>
  <c r="J58" i="4" s="1"/>
  <c r="L58" i="4" s="1"/>
  <c r="J57" i="4"/>
  <c r="L57" i="4" s="1"/>
  <c r="F57" i="4"/>
  <c r="F56" i="4"/>
  <c r="J56" i="4" s="1"/>
  <c r="L56" i="4" s="1"/>
  <c r="J55" i="4"/>
  <c r="L55" i="4" s="1"/>
  <c r="F55" i="4"/>
  <c r="F54" i="4"/>
  <c r="J54" i="4" s="1"/>
  <c r="L54" i="4" s="1"/>
  <c r="J53" i="4"/>
  <c r="L53" i="4" s="1"/>
  <c r="F53" i="4"/>
  <c r="L52" i="4"/>
  <c r="F52" i="4"/>
  <c r="J52" i="4" s="1"/>
  <c r="J51" i="4"/>
  <c r="L51" i="4" s="1"/>
  <c r="F51" i="4"/>
  <c r="F50" i="4"/>
  <c r="J50" i="4" s="1"/>
  <c r="L50" i="4" s="1"/>
  <c r="J49" i="4"/>
  <c r="L49" i="4" s="1"/>
  <c r="F49" i="4"/>
  <c r="F48" i="4"/>
  <c r="J48" i="4" s="1"/>
  <c r="L48" i="4" s="1"/>
  <c r="J47" i="4"/>
  <c r="L47" i="4" s="1"/>
  <c r="F47" i="4"/>
  <c r="F46" i="4"/>
  <c r="J46" i="4" s="1"/>
  <c r="L46" i="4" s="1"/>
  <c r="F45" i="4"/>
  <c r="J45" i="4" s="1"/>
  <c r="L45" i="4" s="1"/>
  <c r="F44" i="4"/>
  <c r="J44" i="4" s="1"/>
  <c r="L44" i="4" s="1"/>
  <c r="J43" i="4"/>
  <c r="L43" i="4" s="1"/>
  <c r="F43" i="4"/>
  <c r="F42" i="4"/>
  <c r="J42" i="4" s="1"/>
  <c r="L42" i="4" s="1"/>
  <c r="J41" i="4"/>
  <c r="L41" i="4" s="1"/>
  <c r="F41" i="4"/>
  <c r="F40" i="4"/>
  <c r="J40" i="4" s="1"/>
  <c r="L40" i="4" s="1"/>
  <c r="J39" i="4"/>
  <c r="L39" i="4" s="1"/>
  <c r="F39" i="4"/>
  <c r="F38" i="4"/>
  <c r="J38" i="4" s="1"/>
  <c r="L38" i="4" s="1"/>
  <c r="J37" i="4"/>
  <c r="L37" i="4" s="1"/>
  <c r="F37" i="4"/>
  <c r="F36" i="4"/>
  <c r="J36" i="4" s="1"/>
  <c r="L36" i="4" s="1"/>
  <c r="J35" i="4"/>
  <c r="L35" i="4" s="1"/>
  <c r="F35" i="4"/>
  <c r="F34" i="4"/>
  <c r="J34" i="4" s="1"/>
  <c r="L34" i="4" s="1"/>
  <c r="J33" i="4"/>
  <c r="L33" i="4" s="1"/>
  <c r="F33" i="4"/>
  <c r="F32" i="4"/>
  <c r="J32" i="4" s="1"/>
  <c r="L32" i="4" s="1"/>
  <c r="J31" i="4"/>
  <c r="L31" i="4" s="1"/>
  <c r="F31" i="4"/>
  <c r="F30" i="4"/>
  <c r="J30" i="4" s="1"/>
  <c r="L30" i="4" s="1"/>
  <c r="J29" i="4"/>
  <c r="L29" i="4" s="1"/>
  <c r="F29" i="4"/>
  <c r="F28" i="4"/>
  <c r="J28" i="4" s="1"/>
  <c r="L28" i="4" s="1"/>
  <c r="F27" i="4"/>
  <c r="J27" i="4" s="1"/>
  <c r="L27" i="4" s="1"/>
  <c r="J26" i="4"/>
  <c r="L26" i="4" s="1"/>
  <c r="F26" i="4"/>
  <c r="F25" i="4"/>
  <c r="J25" i="4" s="1"/>
  <c r="L25" i="4" s="1"/>
  <c r="J24" i="4"/>
  <c r="L24" i="4" s="1"/>
  <c r="F24" i="4"/>
  <c r="F23" i="4"/>
  <c r="J23" i="4" s="1"/>
  <c r="L23" i="4" s="1"/>
  <c r="J22" i="4"/>
  <c r="L22" i="4" s="1"/>
  <c r="F22" i="4"/>
  <c r="F21" i="4"/>
  <c r="J21" i="4" s="1"/>
  <c r="L21" i="4" s="1"/>
  <c r="J20" i="4"/>
  <c r="L20" i="4" s="1"/>
  <c r="F20" i="4"/>
  <c r="F19" i="4"/>
  <c r="J19" i="4" s="1"/>
  <c r="L19" i="4" s="1"/>
  <c r="J18" i="4"/>
  <c r="L18" i="4" s="1"/>
  <c r="F18" i="4"/>
  <c r="F17" i="4"/>
  <c r="J17" i="4" s="1"/>
  <c r="L17" i="4" s="1"/>
  <c r="J16" i="4"/>
  <c r="L16" i="4" s="1"/>
  <c r="F16" i="4"/>
  <c r="F15" i="4"/>
  <c r="J15" i="4" s="1"/>
  <c r="L15" i="4" s="1"/>
  <c r="J14" i="4"/>
  <c r="L14" i="4" s="1"/>
  <c r="F14" i="4"/>
  <c r="F13" i="4"/>
  <c r="J13" i="4" s="1"/>
  <c r="L13" i="4" s="1"/>
  <c r="J12" i="4"/>
  <c r="L12" i="4" s="1"/>
  <c r="F12" i="4"/>
  <c r="F11" i="4"/>
  <c r="J11" i="4" s="1"/>
  <c r="L11" i="4" s="1"/>
  <c r="J10" i="4"/>
  <c r="L10" i="4" s="1"/>
  <c r="F10" i="4"/>
  <c r="F9" i="4"/>
  <c r="J9" i="4" s="1"/>
  <c r="L9" i="4" s="1"/>
  <c r="J8" i="4"/>
  <c r="L8" i="4" s="1"/>
  <c r="F8" i="4"/>
  <c r="F7" i="4"/>
  <c r="J7" i="4" s="1"/>
  <c r="L7" i="4" s="1"/>
  <c r="J6" i="4"/>
  <c r="L6" i="4" s="1"/>
  <c r="F6" i="4"/>
  <c r="F5" i="4"/>
  <c r="J5" i="4" s="1"/>
  <c r="L5" i="4" s="1"/>
  <c r="J4" i="4"/>
  <c r="L4" i="4" s="1"/>
  <c r="F4" i="4"/>
  <c r="F3" i="4"/>
  <c r="J3" i="4" s="1"/>
  <c r="L3" i="4" s="1"/>
  <c r="J2" i="4"/>
  <c r="L2" i="4" s="1"/>
  <c r="F2" i="4"/>
  <c r="O146" i="3" l="1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7" i="3"/>
  <c r="O46" i="3"/>
  <c r="O45" i="3"/>
  <c r="O44" i="3"/>
  <c r="O43" i="3"/>
  <c r="O42" i="3"/>
  <c r="O41" i="3"/>
  <c r="O40" i="3"/>
  <c r="O39" i="3"/>
  <c r="O38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200" i="3"/>
  <c r="N89" i="3"/>
  <c r="N85" i="3"/>
  <c r="N86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O37" i="3" s="1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L200" i="3" l="1"/>
</calcChain>
</file>

<file path=xl/sharedStrings.xml><?xml version="1.0" encoding="utf-8"?>
<sst xmlns="http://schemas.openxmlformats.org/spreadsheetml/2006/main" count="1956" uniqueCount="1048">
  <si>
    <t>Fch.Ref: 01/04/2026</t>
  </si>
  <si>
    <t>Hora: 11:54:04</t>
  </si>
  <si>
    <t>Emision: 01/04/2026</t>
  </si>
  <si>
    <t>Pregunta 01 : De Fecha</t>
  </si>
  <si>
    <t>01/03/2026</t>
  </si>
  <si>
    <t>Pregunta 02 : A Fecha</t>
  </si>
  <si>
    <t>31/03/2026</t>
  </si>
  <si>
    <t>Codigo</t>
  </si>
  <si>
    <t>Nombre</t>
  </si>
  <si>
    <t>pedidos</t>
  </si>
  <si>
    <t>Dev pedidos</t>
  </si>
  <si>
    <t>Fact sin impues</t>
  </si>
  <si>
    <t>Facturado</t>
  </si>
  <si>
    <t>Dev Sin Imp</t>
  </si>
  <si>
    <t>Dev Facturado</t>
  </si>
  <si>
    <t>1000493567</t>
  </si>
  <si>
    <t>LAURA TATIANA FORERO OCAMPO</t>
  </si>
  <si>
    <t>1010161663</t>
  </si>
  <si>
    <t>ACOSTA RODRIGUEZ ANDREA</t>
  </si>
  <si>
    <t>1010179937</t>
  </si>
  <si>
    <t>RIOS BUITRAGO JULIET ANDREA</t>
  </si>
  <si>
    <t>1012408860</t>
  </si>
  <si>
    <t>NUBIA GISELA GOMEZ CARDENAS</t>
  </si>
  <si>
    <t>1013624865</t>
  </si>
  <si>
    <t>HEIDY KATHERINE GOMEZ GOMEZ</t>
  </si>
  <si>
    <t>1014220931</t>
  </si>
  <si>
    <t>BORJA GOMEZ YESICA LORENA</t>
  </si>
  <si>
    <t>1020757721</t>
  </si>
  <si>
    <t>RAMIREZ MENDEZ MARIA CATALINA</t>
  </si>
  <si>
    <t>1020759785</t>
  </si>
  <si>
    <t>VARGAS MELO JAVIER ALFREDO</t>
  </si>
  <si>
    <t>1022376613</t>
  </si>
  <si>
    <t>BELTRAN ALVAREZ JULIAN DAVID</t>
  </si>
  <si>
    <t>1023872116</t>
  </si>
  <si>
    <t>RUIZ MOSQUERA CINDY PAOLA</t>
  </si>
  <si>
    <t>1023914444</t>
  </si>
  <si>
    <t>OSCAR IVAN HERRERA TORRES</t>
  </si>
  <si>
    <t>1026559705</t>
  </si>
  <si>
    <t>MATIZ FERNANDEZ DANIEL</t>
  </si>
  <si>
    <t>1032437153</t>
  </si>
  <si>
    <t>YULI ACENETH PEDRAZA GARZON</t>
  </si>
  <si>
    <t>1098666971</t>
  </si>
  <si>
    <t>SUAREZ NIÑO LINA FERNANDA</t>
  </si>
  <si>
    <t>16774136</t>
  </si>
  <si>
    <t>ALZATE RAMIREZ GERMAN</t>
  </si>
  <si>
    <t>16936419</t>
  </si>
  <si>
    <t>GIRALDO HUERTAS FRANCISCO JAVIER</t>
  </si>
  <si>
    <t>1712420643</t>
  </si>
  <si>
    <t>DIEGO MIGUEL VISCARA SOLIS</t>
  </si>
  <si>
    <t>17150797</t>
  </si>
  <si>
    <t>DURAN BLANCO JORGE</t>
  </si>
  <si>
    <t>19079908</t>
  </si>
  <si>
    <t>HERNANDEZ FORERO AUGUSTO</t>
  </si>
  <si>
    <t>19151098</t>
  </si>
  <si>
    <t>LONDOÑO OCHOA GILBERTO</t>
  </si>
  <si>
    <t>19300961</t>
  </si>
  <si>
    <t>CARDENAS REY HECTOR</t>
  </si>
  <si>
    <t>23995439</t>
  </si>
  <si>
    <t>CASTELLANOS CECILIA AMPARO</t>
  </si>
  <si>
    <t>24327750</t>
  </si>
  <si>
    <t>URREA GALLO ANA MARIA</t>
  </si>
  <si>
    <t>24330432</t>
  </si>
  <si>
    <t>VILLA LONDOÑA CLAUDIA</t>
  </si>
  <si>
    <t>27089886</t>
  </si>
  <si>
    <t>ENRIQUEZ ROSALES CAROLINA</t>
  </si>
  <si>
    <t>30305277</t>
  </si>
  <si>
    <t>GOMEZ VALLEJO ADRIANA LUCIA</t>
  </si>
  <si>
    <t>31395720</t>
  </si>
  <si>
    <t>GUZMAN QUINTERO FRANCIA ELENA</t>
  </si>
  <si>
    <t>31855894</t>
  </si>
  <si>
    <t>CARMEN NISFALIA ZUÑIGA SERNA</t>
  </si>
  <si>
    <t>32107510</t>
  </si>
  <si>
    <t>LINA MARCELA GIRALDO SEGURA</t>
  </si>
  <si>
    <t>32420298</t>
  </si>
  <si>
    <t>CASTAÑO NUBIA</t>
  </si>
  <si>
    <t>32702196</t>
  </si>
  <si>
    <t>CAMARGO POLO ODID</t>
  </si>
  <si>
    <t>32907481</t>
  </si>
  <si>
    <t>MEILEEN PAOLA MANRIQUE MENDOZA</t>
  </si>
  <si>
    <t>36165528</t>
  </si>
  <si>
    <t>FANNY PEREZ RAMIREZ</t>
  </si>
  <si>
    <t>39639629</t>
  </si>
  <si>
    <t>TORRES GONZALEZ MATILDE ASTRID</t>
  </si>
  <si>
    <t>39700992</t>
  </si>
  <si>
    <t>PUERTA GONZALEZ GLORIA AMPARO</t>
  </si>
  <si>
    <t>39778841</t>
  </si>
  <si>
    <t>MELGUIZO HOYOS GLORIA CECILIA</t>
  </si>
  <si>
    <t>39794199</t>
  </si>
  <si>
    <t>GLORIA ISABEL MATEUS MENDEZ</t>
  </si>
  <si>
    <t>4208665</t>
  </si>
  <si>
    <t>JAIME FERNANDO AGUDELO FONSECA</t>
  </si>
  <si>
    <t>42890756</t>
  </si>
  <si>
    <t>GUTIERREZ RESTREPO NORA MONICA</t>
  </si>
  <si>
    <t>43039540</t>
  </si>
  <si>
    <t>LONDOÑO OSORIO FRANCIA CRISTINA</t>
  </si>
  <si>
    <t>444444501</t>
  </si>
  <si>
    <t>IH INTERNACIONAL</t>
  </si>
  <si>
    <t>444444505</t>
  </si>
  <si>
    <t>PROMOS J&amp;M IMPORTADO</t>
  </si>
  <si>
    <t>444444526</t>
  </si>
  <si>
    <t>SOLUCIONES GLOBALES SA DE CV</t>
  </si>
  <si>
    <t>50891442</t>
  </si>
  <si>
    <t>FLOREZ FERNANDEZ SANDRA PATRICIA</t>
  </si>
  <si>
    <t>51577273</t>
  </si>
  <si>
    <t>ALINA  SUAREZ OBANDO</t>
  </si>
  <si>
    <t>51979364</t>
  </si>
  <si>
    <t>URREGO U. ANGELICA M</t>
  </si>
  <si>
    <t>52094870</t>
  </si>
  <si>
    <t>CARRILLO BAQUERO EDI</t>
  </si>
  <si>
    <t>52297237</t>
  </si>
  <si>
    <t>REYES SUAREZ ANITA</t>
  </si>
  <si>
    <t>52350695</t>
  </si>
  <si>
    <t>CAROLINA BUENDIA</t>
  </si>
  <si>
    <t>52393504</t>
  </si>
  <si>
    <t>SANDRA VIVIANA MANCERA CASTELLANOS</t>
  </si>
  <si>
    <t>52432592</t>
  </si>
  <si>
    <t>MILA ENRIQUEZ SANDRA PATRICIA</t>
  </si>
  <si>
    <t>52482842</t>
  </si>
  <si>
    <t>BRAVO RIAÑOS SONIA ESPERANZA</t>
  </si>
  <si>
    <t>52493506</t>
  </si>
  <si>
    <t>PEÑA TOVAR MARIELLY STELLA</t>
  </si>
  <si>
    <t>52704116</t>
  </si>
  <si>
    <t>GARCIA BUITRAGO LINA MARIA</t>
  </si>
  <si>
    <t>52848509</t>
  </si>
  <si>
    <t>FREIDA JESENIA OCHOA</t>
  </si>
  <si>
    <t>53084493</t>
  </si>
  <si>
    <t>ANGELICA STEFANIA TOLEDO CASTELLANO</t>
  </si>
  <si>
    <t>5774184</t>
  </si>
  <si>
    <t>CARLOS FERNANDO GELVEZ</t>
  </si>
  <si>
    <t>63534438</t>
  </si>
  <si>
    <t>BERMUDEZ RODRIGUEZ SILVIA JULIANA</t>
  </si>
  <si>
    <t>66835978</t>
  </si>
  <si>
    <t>CLAUDIA  YEPES YEPES</t>
  </si>
  <si>
    <t>66989866</t>
  </si>
  <si>
    <t>FIORELLA  COLAVIZZA AZCARATE</t>
  </si>
  <si>
    <t>70549976</t>
  </si>
  <si>
    <t>BOTERO ZAPATA SERGIO</t>
  </si>
  <si>
    <t>71752192</t>
  </si>
  <si>
    <t>GOMEZ GIRALDO EVER MAURICIO</t>
  </si>
  <si>
    <t>75146432</t>
  </si>
  <si>
    <t>ALEXIS  VILLEGAS URIBE</t>
  </si>
  <si>
    <t>7700453</t>
  </si>
  <si>
    <t>VALENCIA RODRIGUEZ GUILLERMO ANDRES</t>
  </si>
  <si>
    <t>79141115</t>
  </si>
  <si>
    <t>RAMIREZ BOTERO GABRIEL FERNANDO</t>
  </si>
  <si>
    <t>79148218</t>
  </si>
  <si>
    <t>RAMIREZ BOTERO CAMILO</t>
  </si>
  <si>
    <t>79284889</t>
  </si>
  <si>
    <t>MARIO FERNANDO QUIROGA GARCIA</t>
  </si>
  <si>
    <t>79318540</t>
  </si>
  <si>
    <t>PORRAS PIÑEROS FRANK</t>
  </si>
  <si>
    <t>79400133</t>
  </si>
  <si>
    <t>PRIETO RODRIGUEZ JOSE ALFREDO</t>
  </si>
  <si>
    <t>79627133</t>
  </si>
  <si>
    <t>ALVARO ANDRES ROJAS CHAPARRO</t>
  </si>
  <si>
    <t>79686344</t>
  </si>
  <si>
    <t>SANCHEZ BUITRAGO JUAN ALBERTO</t>
  </si>
  <si>
    <t>79718159</t>
  </si>
  <si>
    <t>FLOREZ JAVIER EDUARDO</t>
  </si>
  <si>
    <t>79743894</t>
  </si>
  <si>
    <t>RODRIGUEZ MARTINEZ YOVANNI</t>
  </si>
  <si>
    <t>79778736</t>
  </si>
  <si>
    <t>TRUJILLO TORRES NATANIEL</t>
  </si>
  <si>
    <t>79781393</t>
  </si>
  <si>
    <t>RAMIREZ BOTERO GUSTAVO ALFREDO</t>
  </si>
  <si>
    <t>79923883</t>
  </si>
  <si>
    <t>JOSE MANUEL BARRAGAN URREGO</t>
  </si>
  <si>
    <t>800013879</t>
  </si>
  <si>
    <t>ECOMARKET SAS</t>
  </si>
  <si>
    <t>800014234</t>
  </si>
  <si>
    <t>MARCA PUBLICIDAD SAS</t>
  </si>
  <si>
    <t>800030762</t>
  </si>
  <si>
    <t>BED PROMOCIONALES LTDA "BED LTDA"</t>
  </si>
  <si>
    <t>800035529</t>
  </si>
  <si>
    <t>NASER PUBLICIDAD SAS</t>
  </si>
  <si>
    <t>800037800</t>
  </si>
  <si>
    <t>BANCO AGRARIO DE COLOMBIA SA</t>
  </si>
  <si>
    <t>800048221</t>
  </si>
  <si>
    <t>ORIENTACION PUBLICITARIA Y PROMOCIO</t>
  </si>
  <si>
    <t>800099468</t>
  </si>
  <si>
    <t>TEXPOIDEAS LTDA</t>
  </si>
  <si>
    <t>800101403</t>
  </si>
  <si>
    <t>IMAGENES Y TEXTO S.A.S</t>
  </si>
  <si>
    <t>800102731</t>
  </si>
  <si>
    <t>FORMAS DE ICOPOR S A S ICOFORMAS S</t>
  </si>
  <si>
    <t>800118202</t>
  </si>
  <si>
    <t>ESTELAR IMPRESORES S.A.S</t>
  </si>
  <si>
    <t>800119100</t>
  </si>
  <si>
    <t>LITHO COPIAS CALIDAD SUPERFORMAS SA</t>
  </si>
  <si>
    <t>800139796</t>
  </si>
  <si>
    <t>IMPRESOS RICHARD SAS</t>
  </si>
  <si>
    <t>800140008</t>
  </si>
  <si>
    <t>AKL INTERNATIONAL S.</t>
  </si>
  <si>
    <t>800153783</t>
  </si>
  <si>
    <t>DINTERAMERICANA SOCIEDAD POR ACCION</t>
  </si>
  <si>
    <t>800181369</t>
  </si>
  <si>
    <t>DYNAMIC MERCHANDISIN</t>
  </si>
  <si>
    <t>800208072</t>
  </si>
  <si>
    <t>IMAGEN PERFECTA 7 ASESORES EN MARKE</t>
  </si>
  <si>
    <t>800226887</t>
  </si>
  <si>
    <t>GRUPO MERPES SAS</t>
  </si>
  <si>
    <t>800226923</t>
  </si>
  <si>
    <t>SIGNAL MARKETING SAS</t>
  </si>
  <si>
    <t>800228272</t>
  </si>
  <si>
    <t>MACRO PUBLICIDAD</t>
  </si>
  <si>
    <t>800235838</t>
  </si>
  <si>
    <t>GUIBOGA PUBLICIDAD S</t>
  </si>
  <si>
    <t>800251062</t>
  </si>
  <si>
    <t>UMBRELLA PUBLICIDAD Y MERCADEO SAS</t>
  </si>
  <si>
    <t>80149425</t>
  </si>
  <si>
    <t>GONZALEZ PAVA JOHN ALEXANDER</t>
  </si>
  <si>
    <t>802011091</t>
  </si>
  <si>
    <t>MARMAG PUBLICIDAD LT</t>
  </si>
  <si>
    <t>80267497</t>
  </si>
  <si>
    <t>LADINO APONTE OSCAR WILLIAM</t>
  </si>
  <si>
    <t>80425064</t>
  </si>
  <si>
    <t>CARLOS ALBERTO JIMENEZ PUERTO</t>
  </si>
  <si>
    <t>80492462</t>
  </si>
  <si>
    <t>BERNAL RAMIREZ LUIS HENRY</t>
  </si>
  <si>
    <t>805015407</t>
  </si>
  <si>
    <t>IMAGENES GRAFICAS BIC SAS</t>
  </si>
  <si>
    <t>805025304</t>
  </si>
  <si>
    <t>PACIFICO PUBLICIDAD</t>
  </si>
  <si>
    <t>805025692</t>
  </si>
  <si>
    <t>SOUVENIR MARKETING PROMOCIONAL SAS</t>
  </si>
  <si>
    <t>805030789</t>
  </si>
  <si>
    <t>PROMOMARK  S.A.S.</t>
  </si>
  <si>
    <t>811042194</t>
  </si>
  <si>
    <t>LITOGRAFIKAZ SAS</t>
  </si>
  <si>
    <t>811044543</t>
  </si>
  <si>
    <t>GRAZZ SAS</t>
  </si>
  <si>
    <t>830000131</t>
  </si>
  <si>
    <t>ANKLA PUBLICIDAD LTD</t>
  </si>
  <si>
    <t>830001880</t>
  </si>
  <si>
    <t>AFAN GRAFICO SAS</t>
  </si>
  <si>
    <t>830002544</t>
  </si>
  <si>
    <t>PRONTO PRINTER SAS</t>
  </si>
  <si>
    <t>830010717</t>
  </si>
  <si>
    <t>PLASTICOS RAINBOW SAS</t>
  </si>
  <si>
    <t>830013781</t>
  </si>
  <si>
    <t>VITEL PROMOCIONES SAS</t>
  </si>
  <si>
    <t>830018350</t>
  </si>
  <si>
    <t>PROMOS</t>
  </si>
  <si>
    <t>830034068</t>
  </si>
  <si>
    <t>LINE CORP COMPANY LTDA</t>
  </si>
  <si>
    <t>830037610</t>
  </si>
  <si>
    <t>HOJAS S.A.S</t>
  </si>
  <si>
    <t>830048364</t>
  </si>
  <si>
    <t>CLASS PUBLICIDAD LTD</t>
  </si>
  <si>
    <t>830052998</t>
  </si>
  <si>
    <t>FIDEICOMISOS BBVA ASSET MANAGEMENT</t>
  </si>
  <si>
    <t>830053792</t>
  </si>
  <si>
    <t>STRATEGY SAS</t>
  </si>
  <si>
    <t>830054449</t>
  </si>
  <si>
    <t>PLASPRINTER SAS</t>
  </si>
  <si>
    <t>830055991</t>
  </si>
  <si>
    <t>DISTRI PEN SAS</t>
  </si>
  <si>
    <t>830059276</t>
  </si>
  <si>
    <t>ALIANZA 2MIL EDITORES E IMPRESORES</t>
  </si>
  <si>
    <t>830059676</t>
  </si>
  <si>
    <t>PLUMAS Y HOBBIES LTD</t>
  </si>
  <si>
    <t>830061287</t>
  </si>
  <si>
    <t>INVERSIONES DIAZ POSADA S.A.S</t>
  </si>
  <si>
    <t>830066109</t>
  </si>
  <si>
    <t>PROCESOS DIGITALES SAS</t>
  </si>
  <si>
    <t>830066467</t>
  </si>
  <si>
    <t>IMGRAM E.U.</t>
  </si>
  <si>
    <t>830066981</t>
  </si>
  <si>
    <t>PROPUESTA EMPRESARIA</t>
  </si>
  <si>
    <t>830067529</t>
  </si>
  <si>
    <t>DISEÑO MDC SAS</t>
  </si>
  <si>
    <t>830070527</t>
  </si>
  <si>
    <t>REDEBAN S.A</t>
  </si>
  <si>
    <t>830074095</t>
  </si>
  <si>
    <t>EZ PUBLICIDAD SAS</t>
  </si>
  <si>
    <t>830075651</t>
  </si>
  <si>
    <t>PORTAL DE FE LTDA</t>
  </si>
  <si>
    <t>830083690</t>
  </si>
  <si>
    <t>PAPYRUS FORMAS E IMPRESOS LTDA</t>
  </si>
  <si>
    <t>830084836</t>
  </si>
  <si>
    <t>EDEUPESIS S.A.S.</t>
  </si>
  <si>
    <t>830089097</t>
  </si>
  <si>
    <t>BUENOS &amp; CREATIVOS S A S</t>
  </si>
  <si>
    <t>830089326</t>
  </si>
  <si>
    <t>BEST LINE E.U</t>
  </si>
  <si>
    <t>830089683</t>
  </si>
  <si>
    <t>ADA MARKETING EMPRES</t>
  </si>
  <si>
    <t>830094654</t>
  </si>
  <si>
    <t>J.NISI PUBLICIDAD LT</t>
  </si>
  <si>
    <t>830096590</t>
  </si>
  <si>
    <t>SAPIA CI  S.A.S.</t>
  </si>
  <si>
    <t>830097133</t>
  </si>
  <si>
    <t>IMPORTADORA UNLIMITED MARKET SAS</t>
  </si>
  <si>
    <t>830099882</t>
  </si>
  <si>
    <t>LANDIK SAS</t>
  </si>
  <si>
    <t>830101522</t>
  </si>
  <si>
    <t>C A MERCANTIL EXPRESS SOCIEDAD GRAF</t>
  </si>
  <si>
    <t>830101827</t>
  </si>
  <si>
    <t>H&amp;A CONSULTING LTDA</t>
  </si>
  <si>
    <t>830102413</t>
  </si>
  <si>
    <t>PUBLIGRAF C R C SAS</t>
  </si>
  <si>
    <t>830108993</t>
  </si>
  <si>
    <t>BEDIGITAL SAS</t>
  </si>
  <si>
    <t>830129210</t>
  </si>
  <si>
    <t>PRICE RAMIREZ REPRESENTACIONES LTDA</t>
  </si>
  <si>
    <t>830129327</t>
  </si>
  <si>
    <t>FARMATODO COLOMBIA S</t>
  </si>
  <si>
    <t>830130978</t>
  </si>
  <si>
    <t>FOLIUM ASOCIADOS LTD</t>
  </si>
  <si>
    <t>830131596</t>
  </si>
  <si>
    <t>PUBLICARDS LTDA</t>
  </si>
  <si>
    <t>830131798</t>
  </si>
  <si>
    <t>PODER PROMOCIONAL LTDA</t>
  </si>
  <si>
    <t>830134769</t>
  </si>
  <si>
    <t>DIPROMO SAS</t>
  </si>
  <si>
    <t>830135212</t>
  </si>
  <si>
    <t>TUPUBLICISTA.COM S.A.S</t>
  </si>
  <si>
    <t>830136068</t>
  </si>
  <si>
    <t>UV SCREEN SUAREZ S A S</t>
  </si>
  <si>
    <t>830137326</t>
  </si>
  <si>
    <t>PRO EN STOCK LTDA</t>
  </si>
  <si>
    <t>830141809</t>
  </si>
  <si>
    <t>INCOPROM S.A.S</t>
  </si>
  <si>
    <t>830142378</t>
  </si>
  <si>
    <t>DIRECTA CONSULTORES SAS</t>
  </si>
  <si>
    <t>830142744</t>
  </si>
  <si>
    <t>PUBLICACIONES SEGURA</t>
  </si>
  <si>
    <t>830144049</t>
  </si>
  <si>
    <t>FLEA MARKET S.A.S.</t>
  </si>
  <si>
    <t>830503739</t>
  </si>
  <si>
    <t>PUBLI SCRIPT SAS</t>
  </si>
  <si>
    <t>830504692</t>
  </si>
  <si>
    <t>PROBRAND INTEGRA S.A.S</t>
  </si>
  <si>
    <t>830510787</t>
  </si>
  <si>
    <t>CARL ZEISS VISION COLOMBIA SAS</t>
  </si>
  <si>
    <t>860013570</t>
  </si>
  <si>
    <t>CAJA DE COMPENSACION FAMILIAR CAFAM</t>
  </si>
  <si>
    <t>860034313</t>
  </si>
  <si>
    <t>BANCO DAVIVIENDA S.A.</t>
  </si>
  <si>
    <t>860518123</t>
  </si>
  <si>
    <t>A Y B INDUSTRIAL Y COMERCIAL SAS</t>
  </si>
  <si>
    <t>860530370</t>
  </si>
  <si>
    <t>LIDER PRODUCTOS PUBLICITARIOS S A S</t>
  </si>
  <si>
    <t>860534134</t>
  </si>
  <si>
    <t>MAREAZ LIMITADA</t>
  </si>
  <si>
    <t>890319790</t>
  </si>
  <si>
    <t>PROIMPO SAS</t>
  </si>
  <si>
    <t>890903938</t>
  </si>
  <si>
    <t>BANCOLOMBIA S.A.</t>
  </si>
  <si>
    <t>890928128</t>
  </si>
  <si>
    <t>PROINCO IMPRESORES LTDA</t>
  </si>
  <si>
    <t>890936755</t>
  </si>
  <si>
    <t>DETALLES PUBLICITARIOS GS S.A.S.</t>
  </si>
  <si>
    <t>900006588</t>
  </si>
  <si>
    <t>TACTICO GROUP SAS</t>
  </si>
  <si>
    <t>900009485</t>
  </si>
  <si>
    <t>EXIARTE SAS</t>
  </si>
  <si>
    <t>900011707</t>
  </si>
  <si>
    <t>DESARROLLOS EXCLUSIVOS E INSUMOS S.</t>
  </si>
  <si>
    <t>900016298</t>
  </si>
  <si>
    <t>PROMOTRADING SAS</t>
  </si>
  <si>
    <t>900016826</t>
  </si>
  <si>
    <t>INVERSIONES GARCES MANRIQUE SAS</t>
  </si>
  <si>
    <t>900018411</t>
  </si>
  <si>
    <t>DAMAU SAS</t>
  </si>
  <si>
    <t>900040176</t>
  </si>
  <si>
    <t>DOTACIONES DE AMERICA SAS</t>
  </si>
  <si>
    <t>900049404</t>
  </si>
  <si>
    <t>SION TRADE S.A.S.</t>
  </si>
  <si>
    <t>900082520</t>
  </si>
  <si>
    <t>GRAFITO Y PIZARRA PUBLICIDAD S.A.S</t>
  </si>
  <si>
    <t>900084595</t>
  </si>
  <si>
    <t>NEGOCIOS INSTITUCIONALES SAS</t>
  </si>
  <si>
    <t>900087411</t>
  </si>
  <si>
    <t>SOCIEDAD COMERCIALIZADORA INTERNACI</t>
  </si>
  <si>
    <t>900088915</t>
  </si>
  <si>
    <t>EMPRESA  AEREA DE SERVICIOS Y FACIL</t>
  </si>
  <si>
    <t>900093645</t>
  </si>
  <si>
    <t>GENERAL DE REPRESENTACIONES POPULAR</t>
  </si>
  <si>
    <t>900098776</t>
  </si>
  <si>
    <t>LITO TECNICA PRINTER SAS</t>
  </si>
  <si>
    <t>900111512</t>
  </si>
  <si>
    <t>TIPOINK SAS</t>
  </si>
  <si>
    <t>900128067</t>
  </si>
  <si>
    <t>COMERCIALIZADORA DISTRIBUIDORA R&amp;R</t>
  </si>
  <si>
    <t>900128571</t>
  </si>
  <si>
    <t>APOYO GRAFICO LTDA</t>
  </si>
  <si>
    <t>900129971</t>
  </si>
  <si>
    <t>EDITORIAL UNIVERSAL MAGITEXTOS LTDA</t>
  </si>
  <si>
    <t>900132680</t>
  </si>
  <si>
    <t>BUSINESS &amp; TRAVEL COMPANY SAS</t>
  </si>
  <si>
    <t>900142185</t>
  </si>
  <si>
    <t>CROSS MARKET LTDA</t>
  </si>
  <si>
    <t>900149349</t>
  </si>
  <si>
    <t>SOCIEDAD ENLACE POP SAS</t>
  </si>
  <si>
    <t>900153598</t>
  </si>
  <si>
    <t>ROYAL CORP E.U.</t>
  </si>
  <si>
    <t>900153793</t>
  </si>
  <si>
    <t>PUBLIMARKET COLOMBIA SAS</t>
  </si>
  <si>
    <t>900156055</t>
  </si>
  <si>
    <t>IMAKHIN SAS</t>
  </si>
  <si>
    <t>900158896</t>
  </si>
  <si>
    <t>SIGNOS E IMAGENES LTDA</t>
  </si>
  <si>
    <t>900161447</t>
  </si>
  <si>
    <t>CINCO PUBLICIDAD SAS</t>
  </si>
  <si>
    <t>900163881</t>
  </si>
  <si>
    <t>SIR INDUSTRIAL LTDA</t>
  </si>
  <si>
    <t>900170313</t>
  </si>
  <si>
    <t>MARCOLOR SAS</t>
  </si>
  <si>
    <t>900179297</t>
  </si>
  <si>
    <t>TEREBOTERO PROMOCION</t>
  </si>
  <si>
    <t>900180579</t>
  </si>
  <si>
    <t>PRIMERA OPCION SAS</t>
  </si>
  <si>
    <t>900185014</t>
  </si>
  <si>
    <t>OPENWAVE GESTIÓN Y TECNOLOGIA S.A.S</t>
  </si>
  <si>
    <t>900194363</t>
  </si>
  <si>
    <t>PROMOCIONALES PROMAR</t>
  </si>
  <si>
    <t>900201835</t>
  </si>
  <si>
    <t>5P MARKETING SAS</t>
  </si>
  <si>
    <t>900217297</t>
  </si>
  <si>
    <t>RELIEVE PUBLICIDAD S</t>
  </si>
  <si>
    <t>900219175</t>
  </si>
  <si>
    <t>DISALLA LTDA</t>
  </si>
  <si>
    <t>900220926</t>
  </si>
  <si>
    <t>GREENLIGHT S.A.</t>
  </si>
  <si>
    <t>900223533</t>
  </si>
  <si>
    <t>ULTRA CONCEPT SAS</t>
  </si>
  <si>
    <t>900223777</t>
  </si>
  <si>
    <t>BRANDING ARTICULOS PUBLICITARIOS LT</t>
  </si>
  <si>
    <t>900228250</t>
  </si>
  <si>
    <t>MARCA ESTUDIO LTDA</t>
  </si>
  <si>
    <t>900235416</t>
  </si>
  <si>
    <t>TARGET DOCUMENT SAS</t>
  </si>
  <si>
    <t>900245693</t>
  </si>
  <si>
    <t>DYNAMIC 360 PUBLICID</t>
  </si>
  <si>
    <t>900246734</t>
  </si>
  <si>
    <t>MARCADOS PUBLICIDAD</t>
  </si>
  <si>
    <t>900260926</t>
  </si>
  <si>
    <t>GONZALEZ &amp; GONZALEZ PROVEEDORES SAS</t>
  </si>
  <si>
    <t>900264167</t>
  </si>
  <si>
    <t>PROMO PRINT MARKETIN</t>
  </si>
  <si>
    <t>900273914</t>
  </si>
  <si>
    <t>SOSTENIMIENTO GRAFICO EMPRESARIAL S</t>
  </si>
  <si>
    <t>900277370</t>
  </si>
  <si>
    <t>I SHOP COLOMBIA SAS</t>
  </si>
  <si>
    <t>900279858</t>
  </si>
  <si>
    <t>PROMONTIME COL S.A.S</t>
  </si>
  <si>
    <t>900280550</t>
  </si>
  <si>
    <t>NICCA S.A.S.</t>
  </si>
  <si>
    <t>900297417</t>
  </si>
  <si>
    <t>SUVENIL SAS</t>
  </si>
  <si>
    <t>900298091</t>
  </si>
  <si>
    <t>EGOS MARKETING SAS</t>
  </si>
  <si>
    <t>900298885</t>
  </si>
  <si>
    <t>ESTRATEGICA VISUAL L</t>
  </si>
  <si>
    <t>900299759</t>
  </si>
  <si>
    <t>COMSERLIB &amp; CIA LTDA</t>
  </si>
  <si>
    <t>900299878</t>
  </si>
  <si>
    <t>LINEMARKETING &amp; EVENTOS SAS</t>
  </si>
  <si>
    <t>900312618</t>
  </si>
  <si>
    <t>QUANTUM PROMOCIONALES SAS</t>
  </si>
  <si>
    <t>900313271</t>
  </si>
  <si>
    <t>INNOVACION Y DISENO</t>
  </si>
  <si>
    <t>900316475</t>
  </si>
  <si>
    <t>MAGIC MEDIOS SAS</t>
  </si>
  <si>
    <t>900321177</t>
  </si>
  <si>
    <t>GRUPO MERPRO SAS</t>
  </si>
  <si>
    <t>900324446</t>
  </si>
  <si>
    <t>ACCURACY BRAIN LOGISTICS SAS</t>
  </si>
  <si>
    <t>900328179</t>
  </si>
  <si>
    <t>PRINNTECH SOCIEDAD POR ACCIONES SIM</t>
  </si>
  <si>
    <t>900333860</t>
  </si>
  <si>
    <t>ALTERNATIVAS DE APOYO PROMOCIONAL S</t>
  </si>
  <si>
    <t>900339010</t>
  </si>
  <si>
    <t>TRADE EXPERTS S.A.S.</t>
  </si>
  <si>
    <t>900341480</t>
  </si>
  <si>
    <t>ALL COLORS SAS</t>
  </si>
  <si>
    <t>900350294</t>
  </si>
  <si>
    <t>EXPERTISE COMUNICACION ESTRATEGICA</t>
  </si>
  <si>
    <t>900350625</t>
  </si>
  <si>
    <t>TATIANA ZULUAGA LASERNA PRODUCCION</t>
  </si>
  <si>
    <t>900352772</t>
  </si>
  <si>
    <t>HANNA INSTRUMENTS S.A.S</t>
  </si>
  <si>
    <t>900365778</t>
  </si>
  <si>
    <t>GRANO DE ARENA SAS</t>
  </si>
  <si>
    <t>900366540</t>
  </si>
  <si>
    <t>INVENTO CREATIVO S.A</t>
  </si>
  <si>
    <t>900367892</t>
  </si>
  <si>
    <t>GLOBO SOLUCIONES LTDA</t>
  </si>
  <si>
    <t>900371610</t>
  </si>
  <si>
    <t>GLOBOMERK S.A.S.</t>
  </si>
  <si>
    <t>900378584</t>
  </si>
  <si>
    <t>PROMOTEX MARKET S.A.S</t>
  </si>
  <si>
    <t>900379356</t>
  </si>
  <si>
    <t>THERMOLESS COLOMBIA SAS</t>
  </si>
  <si>
    <t>900380694</t>
  </si>
  <si>
    <t>MARKET INTER NATIONAL SAS</t>
  </si>
  <si>
    <t>900384348</t>
  </si>
  <si>
    <t>BRANDING IMAGEN &amp; PU</t>
  </si>
  <si>
    <t>900385108</t>
  </si>
  <si>
    <t>ASER K SOLUCIONES INTEGRALES SAS</t>
  </si>
  <si>
    <t>900396730</t>
  </si>
  <si>
    <t>FATA IMPRESORES SAS</t>
  </si>
  <si>
    <t>900397806</t>
  </si>
  <si>
    <t>INNOVA PROMOCIONALES</t>
  </si>
  <si>
    <t>900402080</t>
  </si>
  <si>
    <t>FRESENIUS KABI COLOMBIA SAS</t>
  </si>
  <si>
    <t>900408627</t>
  </si>
  <si>
    <t>PACTO ASOCIADOS S.A.</t>
  </si>
  <si>
    <t>900411356</t>
  </si>
  <si>
    <t>MODITELAS E.U.</t>
  </si>
  <si>
    <t>900413145</t>
  </si>
  <si>
    <t>TACTICAL MARKETING GROUP SAS</t>
  </si>
  <si>
    <t>900413827</t>
  </si>
  <si>
    <t>MARKETING PLUSS PROMOCIONAL SAS</t>
  </si>
  <si>
    <t>900414502</t>
  </si>
  <si>
    <t>LIVING IDEAS SAS</t>
  </si>
  <si>
    <t>900414541</t>
  </si>
  <si>
    <t>LOCAL PUBLICIDAD SAS</t>
  </si>
  <si>
    <t>900423194</t>
  </si>
  <si>
    <t>HENAO BAYONA SAS</t>
  </si>
  <si>
    <t>900433333</t>
  </si>
  <si>
    <t>MATRIX GROUP S.A.S.</t>
  </si>
  <si>
    <t>900435672</t>
  </si>
  <si>
    <t>MOJICA &amp; ASOCIADOS IMPRESORES SAS</t>
  </si>
  <si>
    <t>900438464</t>
  </si>
  <si>
    <t>O.P.R.DIGITAL SAS</t>
  </si>
  <si>
    <t>900440679</t>
  </si>
  <si>
    <t>ECOLOGIC SAS</t>
  </si>
  <si>
    <t>900441854</t>
  </si>
  <si>
    <t>PM PUBLICIDAD Y MERCADEO S.A.S.</t>
  </si>
  <si>
    <t>900446062</t>
  </si>
  <si>
    <t>THRIVE MARKETING SAS</t>
  </si>
  <si>
    <t>900455813</t>
  </si>
  <si>
    <t>JMJ COMERCIALIZADORA SAS</t>
  </si>
  <si>
    <t>900462688</t>
  </si>
  <si>
    <t>DELTA FINANCIAL S.A.</t>
  </si>
  <si>
    <t>900468132</t>
  </si>
  <si>
    <t>PROTARGET SAS</t>
  </si>
  <si>
    <t>900468848</t>
  </si>
  <si>
    <t>LR PROMO S.A.S.</t>
  </si>
  <si>
    <t>900471605</t>
  </si>
  <si>
    <t>SUPER INFLABLES DE COLOMBIA SAS</t>
  </si>
  <si>
    <t>900474221</t>
  </si>
  <si>
    <t>TB PROMOCIONALES SAS</t>
  </si>
  <si>
    <t>900474835</t>
  </si>
  <si>
    <t>INNOVA SOLUCIONES EMPRESARIALES SAS</t>
  </si>
  <si>
    <t>900474932</t>
  </si>
  <si>
    <t>VEKTOR INK SAS</t>
  </si>
  <si>
    <t>900476888</t>
  </si>
  <si>
    <t>MSM PROMOCIONALES S.A.S.</t>
  </si>
  <si>
    <t>900479505</t>
  </si>
  <si>
    <t>PATRICK &amp; SANT SAS</t>
  </si>
  <si>
    <t>900489875</t>
  </si>
  <si>
    <t>PROMOMARKA S.A.S.</t>
  </si>
  <si>
    <t>900490540</t>
  </si>
  <si>
    <t>ZUMWORK SAS</t>
  </si>
  <si>
    <t>900490963</t>
  </si>
  <si>
    <t>PROMOCIONALES E-RED SAS</t>
  </si>
  <si>
    <t>900495154</t>
  </si>
  <si>
    <t>PRO-PONEMOS S.A.S.</t>
  </si>
  <si>
    <t>900496948</t>
  </si>
  <si>
    <t>ALIANZA ESTRATEGICA CO SAS</t>
  </si>
  <si>
    <t>900497959</t>
  </si>
  <si>
    <t>GRUPO METALGRAF S.A.</t>
  </si>
  <si>
    <t>900502100</t>
  </si>
  <si>
    <t>MAR-K COMERCIAL S.A.S.</t>
  </si>
  <si>
    <t>900503414</t>
  </si>
  <si>
    <t>EUREK FORMAS CREATIV</t>
  </si>
  <si>
    <t>900503450</t>
  </si>
  <si>
    <t>ORGANIZACION DE NEGOCIOS PUBLICITAR</t>
  </si>
  <si>
    <t>900503624</t>
  </si>
  <si>
    <t>WIN PUBLICIDAD VIAJES Y TURISMO SAS</t>
  </si>
  <si>
    <t>900506040</t>
  </si>
  <si>
    <t>LINEA VERDE PUBLICIDAD SAS</t>
  </si>
  <si>
    <t>900508553</t>
  </si>
  <si>
    <t>TRADE CONECTION ENERGY SAS</t>
  </si>
  <si>
    <t>900509278</t>
  </si>
  <si>
    <t>COMPUARTE PUBLICIDAD SAS</t>
  </si>
  <si>
    <t>900511703</t>
  </si>
  <si>
    <t>SUIMAGEN CREATIVA S.</t>
  </si>
  <si>
    <t>900511785</t>
  </si>
  <si>
    <t>PUSH UP SAS</t>
  </si>
  <si>
    <t>900519184</t>
  </si>
  <si>
    <t>GRUPO PIXEL S.A.S.</t>
  </si>
  <si>
    <t>900525763</t>
  </si>
  <si>
    <t>ZOOM IMAGEN Y DISEÑO SAS</t>
  </si>
  <si>
    <t>900527207</t>
  </si>
  <si>
    <t>IDEARTE CREATIVOS SAS</t>
  </si>
  <si>
    <t>900527279</t>
  </si>
  <si>
    <t>MEGAPROMOCIONALES LTDA</t>
  </si>
  <si>
    <t>900528004</t>
  </si>
  <si>
    <t>H&amp;F PUBLICIDAD SAS</t>
  </si>
  <si>
    <t>900530188</t>
  </si>
  <si>
    <t>CV PRINTING</t>
  </si>
  <si>
    <t>900533050</t>
  </si>
  <si>
    <t>MULTIOPCIONES PROMOCIONALES S.A.S.</t>
  </si>
  <si>
    <t>900533493</t>
  </si>
  <si>
    <t>EUREKA SOLUCIONES ECOLOGICAS Y PUBL</t>
  </si>
  <si>
    <t>900535464</t>
  </si>
  <si>
    <t>PUBLI MAGIC S.A.S.</t>
  </si>
  <si>
    <t>900535865</t>
  </si>
  <si>
    <t>IMPOCOL SR S.A.S</t>
  </si>
  <si>
    <t>900536408</t>
  </si>
  <si>
    <t>AGENCIA A&amp;J PROMO SAS</t>
  </si>
  <si>
    <t>900536473</t>
  </si>
  <si>
    <t>FOUR POINTS CONFECCIONES Y PUBLICID</t>
  </si>
  <si>
    <t>900537369</t>
  </si>
  <si>
    <t>WELL DONE MARKETING &amp; PROMOCION S.A</t>
  </si>
  <si>
    <t>900543135</t>
  </si>
  <si>
    <t>GLOBAL BRANDING IDEA</t>
  </si>
  <si>
    <t>900547519</t>
  </si>
  <si>
    <t>MATICES COMUNICACION VISUAL SAS</t>
  </si>
  <si>
    <t>900550330</t>
  </si>
  <si>
    <t>COMPANY JBM SAS</t>
  </si>
  <si>
    <t>900550603</t>
  </si>
  <si>
    <t>MARKETING PUBLICIDAD Y VENTAS SAS</t>
  </si>
  <si>
    <t>900554450</t>
  </si>
  <si>
    <t>DOBLE JOTA TALLER CREATIVO SAS</t>
  </si>
  <si>
    <t>900558212</t>
  </si>
  <si>
    <t>INNOVAR SOLUCIONES S</t>
  </si>
  <si>
    <t>900558990</t>
  </si>
  <si>
    <t>PROMODINAMIC S.A.S.</t>
  </si>
  <si>
    <t>900561410</t>
  </si>
  <si>
    <t>PUBLIMARKET SOLUCIONES CREATIVAS SA</t>
  </si>
  <si>
    <t>900573971</t>
  </si>
  <si>
    <t>TEXTO PRINT SAS</t>
  </si>
  <si>
    <t>900575674</t>
  </si>
  <si>
    <t>PUNTO APARTE PUBLICIDAD SAS</t>
  </si>
  <si>
    <t>900583309</t>
  </si>
  <si>
    <t>CAPITAL COLOR DISEÑO Y PUBLICIDAD S</t>
  </si>
  <si>
    <t>900584180</t>
  </si>
  <si>
    <t>GRAFICO SAN CAMALEON S.A.S</t>
  </si>
  <si>
    <t>900584333</t>
  </si>
  <si>
    <t>GROUP VINCULOS IMPORT &amp; EXPORT &amp; MO</t>
  </si>
  <si>
    <t>900584759</t>
  </si>
  <si>
    <t>KINK SAS</t>
  </si>
  <si>
    <t>900585881</t>
  </si>
  <si>
    <t>PUBLICIDAD Y GESTION SAS</t>
  </si>
  <si>
    <t>900589120</t>
  </si>
  <si>
    <t>PROMOPRIME SAS</t>
  </si>
  <si>
    <t>900590554</t>
  </si>
  <si>
    <t>CLICK FAST TIME SAS</t>
  </si>
  <si>
    <t>900593966</t>
  </si>
  <si>
    <t>IJOS REGALOS INSTITUCIONALES SAS</t>
  </si>
  <si>
    <t>900600916</t>
  </si>
  <si>
    <t>TINTA &amp; MARCA PUBLICIDAD SAS</t>
  </si>
  <si>
    <t>900602732</t>
  </si>
  <si>
    <t>IMPORPAL SAS</t>
  </si>
  <si>
    <t>900604174</t>
  </si>
  <si>
    <t>DAVANA SAS</t>
  </si>
  <si>
    <t>900605173</t>
  </si>
  <si>
    <t>THOT PUBLICIDAD SAS</t>
  </si>
  <si>
    <t>900608793</t>
  </si>
  <si>
    <t>CREAREGALOS SAS</t>
  </si>
  <si>
    <t>900614415</t>
  </si>
  <si>
    <t>OFFICE SUPPLY CORPORATION. OSC. SAS</t>
  </si>
  <si>
    <t>900615333</t>
  </si>
  <si>
    <t>COMPRANET COMERCIO ELECTRONICO SAS</t>
  </si>
  <si>
    <t>900618019</t>
  </si>
  <si>
    <t>OBJETOS CON DISEÑO SAS</t>
  </si>
  <si>
    <t>900622280</t>
  </si>
  <si>
    <t>KOOM MARKETING SAS</t>
  </si>
  <si>
    <t>900634588</t>
  </si>
  <si>
    <t>TOOLS MARKETING SAS</t>
  </si>
  <si>
    <t>900648760</t>
  </si>
  <si>
    <t>J&amp;R PUBLICIDAD SAS</t>
  </si>
  <si>
    <t>900658563</t>
  </si>
  <si>
    <t>PUBLIOPCIONES SAS</t>
  </si>
  <si>
    <t>900665442</t>
  </si>
  <si>
    <t>PORTA TRADE SAS</t>
  </si>
  <si>
    <t>900673011</t>
  </si>
  <si>
    <t>GRUPO MIL SOLUCIONES SAS</t>
  </si>
  <si>
    <t>900674829</t>
  </si>
  <si>
    <t>COMERCIALIZADORA EL TROLLEY SAS</t>
  </si>
  <si>
    <t>900679858</t>
  </si>
  <si>
    <t>PROMOS PUBLIESTAR SAS</t>
  </si>
  <si>
    <t>900688505</t>
  </si>
  <si>
    <t>PROJECTA SAS</t>
  </si>
  <si>
    <t>900693420</t>
  </si>
  <si>
    <t>IMPULSOS CREATIVOS SAS</t>
  </si>
  <si>
    <t>900697781</t>
  </si>
  <si>
    <t>CTG. SOUVENIRS MULTIMEDIOS PUBLICIT</t>
  </si>
  <si>
    <t>900700893</t>
  </si>
  <si>
    <t>PROMOCIONES PUBLICITARIAS DE COLOMB</t>
  </si>
  <si>
    <t>900707533</t>
  </si>
  <si>
    <t>SERVI PROMO SAS</t>
  </si>
  <si>
    <t>900727373</t>
  </si>
  <si>
    <t>MASTER BRANDING SAS</t>
  </si>
  <si>
    <t>900727443</t>
  </si>
  <si>
    <t>SUMMERC SOLUTIONS S.A.S</t>
  </si>
  <si>
    <t>900727575</t>
  </si>
  <si>
    <t>GOODS SERVICES &amp; QUALITY S.A.S</t>
  </si>
  <si>
    <t>900730592</t>
  </si>
  <si>
    <t>GRAFICALEZ SAS</t>
  </si>
  <si>
    <t>900736235</t>
  </si>
  <si>
    <t>ALMA DIGITAL SAS</t>
  </si>
  <si>
    <t>900744737</t>
  </si>
  <si>
    <t>BEST REGARDS SAS</t>
  </si>
  <si>
    <t>900750150</t>
  </si>
  <si>
    <t>IMPRESOS &amp; BORDADOS UNIVERSAL GRAPH</t>
  </si>
  <si>
    <t>900750167</t>
  </si>
  <si>
    <t>PIXEL GRAPHICS DESIGNS S A S</t>
  </si>
  <si>
    <t>900753209</t>
  </si>
  <si>
    <t>CUATRO MEDIOS SAS</t>
  </si>
  <si>
    <t>900759967</t>
  </si>
  <si>
    <t>GLOBAL BUSINESS COMERCIAL SAS</t>
  </si>
  <si>
    <t>900771457</t>
  </si>
  <si>
    <t>PROMOMARCAS SAS</t>
  </si>
  <si>
    <t>900773687</t>
  </si>
  <si>
    <t>STOP PUBLICITARIO SAS</t>
  </si>
  <si>
    <t>900787247</t>
  </si>
  <si>
    <t>TAKTIKOS SAS</t>
  </si>
  <si>
    <t>900790298</t>
  </si>
  <si>
    <t>ALTA PUBLICIDAD SAS</t>
  </si>
  <si>
    <t>900791652</t>
  </si>
  <si>
    <t>PUBLINNOVA CALI SAS</t>
  </si>
  <si>
    <t>900793115</t>
  </si>
  <si>
    <t>PROMO POP S.A.S</t>
  </si>
  <si>
    <t>900793768</t>
  </si>
  <si>
    <t>RECORDAMOS PUBLICIDAD SAS</t>
  </si>
  <si>
    <t>900798108</t>
  </si>
  <si>
    <t>DISAR PROVEEDORES SAS</t>
  </si>
  <si>
    <t>900806066</t>
  </si>
  <si>
    <t>PROMOGRAF´S SAS</t>
  </si>
  <si>
    <t>900808077</t>
  </si>
  <si>
    <t>MAQUINAS DE IDEAS SAS</t>
  </si>
  <si>
    <t>900810500</t>
  </si>
  <si>
    <t>ICONIKA SAS</t>
  </si>
  <si>
    <t>900818751</t>
  </si>
  <si>
    <t>KREO SOLUCIONES SAS</t>
  </si>
  <si>
    <t>900821152</t>
  </si>
  <si>
    <t>KUMBA INFLABLES SAS</t>
  </si>
  <si>
    <t>900826119</t>
  </si>
  <si>
    <t>CASA DE PONQUE PALERMO</t>
  </si>
  <si>
    <t>900835869</t>
  </si>
  <si>
    <t>COMPAÑIA NACIONAL DE MARKETING Y PO</t>
  </si>
  <si>
    <t>900854673</t>
  </si>
  <si>
    <t>PROMO.GO SAS</t>
  </si>
  <si>
    <t>900855094</t>
  </si>
  <si>
    <t>FURA STUDIO S.A.S.</t>
  </si>
  <si>
    <t>900856747</t>
  </si>
  <si>
    <t>PROYECTA PUBLICIDAD SAS</t>
  </si>
  <si>
    <t>900869886</t>
  </si>
  <si>
    <t>SOLUCIONES GLOBALES COLOMBIA SAS</t>
  </si>
  <si>
    <t>900871789</t>
  </si>
  <si>
    <t>EN POPA PUBLICIDAD SAS</t>
  </si>
  <si>
    <t>900874391</t>
  </si>
  <si>
    <t>DARVAL SOLUCIONES PROMOCIONALES SAS</t>
  </si>
  <si>
    <t>900879051</t>
  </si>
  <si>
    <t>PUBLICITAR COLOMBIA SAS</t>
  </si>
  <si>
    <t>900879470</t>
  </si>
  <si>
    <t>BRAND DESIGN SAS</t>
  </si>
  <si>
    <t>900882848</t>
  </si>
  <si>
    <t>BARCO DE PAPEL SAS</t>
  </si>
  <si>
    <t>900888607</t>
  </si>
  <si>
    <t>MARKETING Y CREATIVIDAD SAS</t>
  </si>
  <si>
    <t>900896614</t>
  </si>
  <si>
    <t>GRUPO ARTEAGA SAS</t>
  </si>
  <si>
    <t>900897828</t>
  </si>
  <si>
    <t>MASS SOLUTIONS MEDIA SAS</t>
  </si>
  <si>
    <t>900899847</t>
  </si>
  <si>
    <t>PUBLICIDAD SHOP SAS</t>
  </si>
  <si>
    <t>900900813</t>
  </si>
  <si>
    <t>INSTAGRAF SAS</t>
  </si>
  <si>
    <t>900907869</t>
  </si>
  <si>
    <t>3MS IMPRESION Y COLOR SAS</t>
  </si>
  <si>
    <t>900908609</t>
  </si>
  <si>
    <t>BINAH TRADE SAS</t>
  </si>
  <si>
    <t>900921329</t>
  </si>
  <si>
    <t>PROYECTA-T MERCHANDISING GROUP SAS</t>
  </si>
  <si>
    <t>900923782</t>
  </si>
  <si>
    <t>C&amp;M PUBLICIDAD S.A.S</t>
  </si>
  <si>
    <t>900927988</t>
  </si>
  <si>
    <t>MANUFACTURAS TERPIEL SAS</t>
  </si>
  <si>
    <t>900947599</t>
  </si>
  <si>
    <t>C &amp; M MARKETING SAS</t>
  </si>
  <si>
    <t>900968010</t>
  </si>
  <si>
    <t>IMPULSA PROMOCIONALES SAS</t>
  </si>
  <si>
    <t>900984869</t>
  </si>
  <si>
    <t>JS PROMOCIONALES SAS</t>
  </si>
  <si>
    <t>900984891</t>
  </si>
  <si>
    <t>CREATE AGENCIA SAS</t>
  </si>
  <si>
    <t>900996217</t>
  </si>
  <si>
    <t>EXITO PUBLICITARIO SAS</t>
  </si>
  <si>
    <t>901005598</t>
  </si>
  <si>
    <t>LAPIZ SOLUCIONES CREATIVAS SAS</t>
  </si>
  <si>
    <t>901007628</t>
  </si>
  <si>
    <t>POP PUBLICIDAD &amp; PROMOCIONALES SAS</t>
  </si>
  <si>
    <t>901008780</t>
  </si>
  <si>
    <t>KONCEPTO DPI SAS</t>
  </si>
  <si>
    <t>901041852</t>
  </si>
  <si>
    <t>PRO-PUBLIC PROMOCIONES Y PUBLICIDAD</t>
  </si>
  <si>
    <t>901051674</t>
  </si>
  <si>
    <t>LM PROMOCIONALES SAS</t>
  </si>
  <si>
    <t>901053997</t>
  </si>
  <si>
    <t>DR. UNIFORM S.A.S</t>
  </si>
  <si>
    <t>901056951</t>
  </si>
  <si>
    <t>DOBEL PROMOS SAS</t>
  </si>
  <si>
    <t>901063564</t>
  </si>
  <si>
    <t>WEBSECURITY COLOMBIA SAS</t>
  </si>
  <si>
    <t>901064140</t>
  </si>
  <si>
    <t>BARUC AGENCIA PUBLICITARIA SAS</t>
  </si>
  <si>
    <t>901064437</t>
  </si>
  <si>
    <t>TIENDA DE REGALOS WONDERFULL SAS</t>
  </si>
  <si>
    <t>901078900</t>
  </si>
  <si>
    <t>SABANA MARKET SAS</t>
  </si>
  <si>
    <t>901081192</t>
  </si>
  <si>
    <t>DM GRUPO EMPRESARIAL SAS</t>
  </si>
  <si>
    <t>901086415</t>
  </si>
  <si>
    <t>ZIEL SOLUCIONES DE NEGOCIO Y TECNOL</t>
  </si>
  <si>
    <t>901086473</t>
  </si>
  <si>
    <t>BORBOLETTA SAS</t>
  </si>
  <si>
    <t>901088439</t>
  </si>
  <si>
    <t>OLGA LUCIA ESTEVEZ SAS</t>
  </si>
  <si>
    <t>901091801</t>
  </si>
  <si>
    <t>REGALOS IDEALES SAS</t>
  </si>
  <si>
    <t>901092024</t>
  </si>
  <si>
    <t>4P PUBLICIDAD SAS</t>
  </si>
  <si>
    <t>901092032</t>
  </si>
  <si>
    <t>DISEÑOS &amp; OBSEQUIOS PUBLICITARIOS D</t>
  </si>
  <si>
    <t>901093199</t>
  </si>
  <si>
    <t>PURPURA ESTUDIO GRAFICO SAS</t>
  </si>
  <si>
    <t>901094435</t>
  </si>
  <si>
    <t>IMAGEN CORPORATIVA Y PUBLICITARIA S</t>
  </si>
  <si>
    <t>901096728</t>
  </si>
  <si>
    <t>ARTESYA PUBLICIDAD SAS</t>
  </si>
  <si>
    <t>901097521</t>
  </si>
  <si>
    <t>COOL SCHOOL SAS</t>
  </si>
  <si>
    <t>901098721</t>
  </si>
  <si>
    <t>SMART-PROMO SAS</t>
  </si>
  <si>
    <t>901109755</t>
  </si>
  <si>
    <t>MEDICPIES SAS</t>
  </si>
  <si>
    <t>901114218</t>
  </si>
  <si>
    <t>ARDILA V EDITORES SAS</t>
  </si>
  <si>
    <t>901129440</t>
  </si>
  <si>
    <t>A&amp;F SOLUCIONES PUBLICITARIAS SAS</t>
  </si>
  <si>
    <t>901130508</t>
  </si>
  <si>
    <t>SMART PROM SAS</t>
  </si>
  <si>
    <t>901144861</t>
  </si>
  <si>
    <t>ECO ESTRATEGIAS DE COMUNICACION PUB</t>
  </si>
  <si>
    <t>901159814</t>
  </si>
  <si>
    <t>PRESENCIA EMPRESARIAL SAS</t>
  </si>
  <si>
    <t>901161885</t>
  </si>
  <si>
    <t>GRUPO RED PROMOCIONAL SAS</t>
  </si>
  <si>
    <t>901162989</t>
  </si>
  <si>
    <t>PROMOHIT PROMOCIONALES SAS</t>
  </si>
  <si>
    <t>901194554</t>
  </si>
  <si>
    <t>D'NEGOCIOS SAS</t>
  </si>
  <si>
    <t>901201136</t>
  </si>
  <si>
    <t>DIMARCA PROMOCIONALES Y DOTACION SA</t>
  </si>
  <si>
    <t>901207174</t>
  </si>
  <si>
    <t>TTL MARKETING ESTRATEGICO SAS</t>
  </si>
  <si>
    <t>901211551</t>
  </si>
  <si>
    <t>RED GLOBAL PROMOCIONAL S.A.S</t>
  </si>
  <si>
    <t>901217395</t>
  </si>
  <si>
    <t>DECUNO SAS</t>
  </si>
  <si>
    <t>901219398</t>
  </si>
  <si>
    <t>POWERPROM SAS</t>
  </si>
  <si>
    <t>901219627</t>
  </si>
  <si>
    <t>P&amp;N PROMOCIONALES SAS</t>
  </si>
  <si>
    <t>901222382</t>
  </si>
  <si>
    <t>IDEAS QUE VENDEN SAS</t>
  </si>
  <si>
    <t>901227212</t>
  </si>
  <si>
    <t>CLICK PROMOCIONALES SAS</t>
  </si>
  <si>
    <t>901234303</t>
  </si>
  <si>
    <t>M&amp;P MARCA &amp; PUBLICIDAD SAS</t>
  </si>
  <si>
    <t>901235209</t>
  </si>
  <si>
    <t>COMPRAS CREATIVAS SAS</t>
  </si>
  <si>
    <t>901242782</t>
  </si>
  <si>
    <t>XP PUBLICITARIOS SAS</t>
  </si>
  <si>
    <t>901245600</t>
  </si>
  <si>
    <t>POSICIONA SAS</t>
  </si>
  <si>
    <t>901263226</t>
  </si>
  <si>
    <t>SYNER GROUP SAS</t>
  </si>
  <si>
    <t>901263301</t>
  </si>
  <si>
    <t>HERRAMIENTAS CREATIVAS SAS</t>
  </si>
  <si>
    <t>901264162</t>
  </si>
  <si>
    <t>HUR REPRESENTACIONES SAS</t>
  </si>
  <si>
    <t>901270397</t>
  </si>
  <si>
    <t>SUBLITEX DIGITAL SAS</t>
  </si>
  <si>
    <t>901277582</t>
  </si>
  <si>
    <t>MARKETING POP SAS</t>
  </si>
  <si>
    <t>901278135</t>
  </si>
  <si>
    <t>GRUPO DARBEL BIC S.A.S</t>
  </si>
  <si>
    <t>901278191</t>
  </si>
  <si>
    <t>DOLPHINPROMOCIONALES SAS</t>
  </si>
  <si>
    <t>901285792</t>
  </si>
  <si>
    <t>PROMOCIONEMOS SAS</t>
  </si>
  <si>
    <t>901286507</t>
  </si>
  <si>
    <t>NOVEDADES PUBLICITARIAS COLOMBIA SA</t>
  </si>
  <si>
    <t>901320562</t>
  </si>
  <si>
    <t>MARKETASH SAS</t>
  </si>
  <si>
    <t>901330412</t>
  </si>
  <si>
    <t>INTERY COMUNICACIONES Y PUBLICIDAD</t>
  </si>
  <si>
    <t>901336804</t>
  </si>
  <si>
    <t>DICOES GRUPO PUBLICITARIO SAS</t>
  </si>
  <si>
    <t>901338919</t>
  </si>
  <si>
    <t>NIKAS PUBLICIDAD SAS</t>
  </si>
  <si>
    <t>901343057</t>
  </si>
  <si>
    <t>TECLOGI CARGO S.A.S</t>
  </si>
  <si>
    <t>901344070</t>
  </si>
  <si>
    <t>BRANDDU SAS</t>
  </si>
  <si>
    <t>901348999</t>
  </si>
  <si>
    <t>GRUPOELDIGMA SAS</t>
  </si>
  <si>
    <t>901369641</t>
  </si>
  <si>
    <t>TODO FINE S.A.S</t>
  </si>
  <si>
    <t>901370420</t>
  </si>
  <si>
    <t>GN GENERACION DE NEGOCIOS SAS</t>
  </si>
  <si>
    <t>901371602</t>
  </si>
  <si>
    <t>COMERCIALIZADORA XICLOPE ASA SAS</t>
  </si>
  <si>
    <t>901380495</t>
  </si>
  <si>
    <t>JUANDDIOS COMUNICACIONES SAS</t>
  </si>
  <si>
    <t>901391548</t>
  </si>
  <si>
    <t>TRADEMARK BUSINESS SAS</t>
  </si>
  <si>
    <t>901395580</t>
  </si>
  <si>
    <t>CREAR HAPPY BOX SAS</t>
  </si>
  <si>
    <t>901399315</t>
  </si>
  <si>
    <t>PROMARKAS SAS</t>
  </si>
  <si>
    <t>901402663</t>
  </si>
  <si>
    <t>PEOPE SAS</t>
  </si>
  <si>
    <t>901402861</t>
  </si>
  <si>
    <t>ALTA GESTION NEGOCIOS E INVERSIONES</t>
  </si>
  <si>
    <t>901456195</t>
  </si>
  <si>
    <t>TAMPO VID PUBLICIDAD SAS</t>
  </si>
  <si>
    <t>901460584</t>
  </si>
  <si>
    <t>INVERSIONES LA TIENDA MP SAS</t>
  </si>
  <si>
    <t>901466835</t>
  </si>
  <si>
    <t>PROMOHIT COLOMBIA SAS</t>
  </si>
  <si>
    <t>901467863</t>
  </si>
  <si>
    <t>ARTE PROMOCIONAL COL SAS</t>
  </si>
  <si>
    <t>901472895</t>
  </si>
  <si>
    <t>ION PROMOCIONALES SAS</t>
  </si>
  <si>
    <t>901496136</t>
  </si>
  <si>
    <t>HOMETIME LINK SAS</t>
  </si>
  <si>
    <t>901512038</t>
  </si>
  <si>
    <t>DM PROMOCIONALES SAS</t>
  </si>
  <si>
    <t>901514493</t>
  </si>
  <si>
    <t>PX ESTUDIO SAS</t>
  </si>
  <si>
    <t>901520607</t>
  </si>
  <si>
    <t>AGENCIA PROMOVERTE SAS</t>
  </si>
  <si>
    <t>901521296</t>
  </si>
  <si>
    <t>COMERCIAL MODERNA CORP SAS</t>
  </si>
  <si>
    <t>901530140</t>
  </si>
  <si>
    <t>PADRISIMOS SAS</t>
  </si>
  <si>
    <t>901537393</t>
  </si>
  <si>
    <t>PROMO BAGS ECO SAS</t>
  </si>
  <si>
    <t>901540330</t>
  </si>
  <si>
    <t>CEPAD PRODUCTOS PROMOCIONALES COL S</t>
  </si>
  <si>
    <t>901552961</t>
  </si>
  <si>
    <t>PROVATER SAS</t>
  </si>
  <si>
    <t>901553577</t>
  </si>
  <si>
    <t>EVOLUTION MARK SAS</t>
  </si>
  <si>
    <t>901574034</t>
  </si>
  <si>
    <t>ALL BR MARKETING GROUP SAS</t>
  </si>
  <si>
    <t>901576104</t>
  </si>
  <si>
    <t>FENIX PROMOCIONALES SAS</t>
  </si>
  <si>
    <t>901577789</t>
  </si>
  <si>
    <t>COLCECOM SAS</t>
  </si>
  <si>
    <t>901591023</t>
  </si>
  <si>
    <t>OCEAN PLUSS MARKETING SAS</t>
  </si>
  <si>
    <t>901599108</t>
  </si>
  <si>
    <t>B2B TRADEMARKED SAS</t>
  </si>
  <si>
    <t>901613228</t>
  </si>
  <si>
    <t>WORKPLUS SAS</t>
  </si>
  <si>
    <t>901623342</t>
  </si>
  <si>
    <t>CREARTIDEAS 360 SAS</t>
  </si>
  <si>
    <t>901624101</t>
  </si>
  <si>
    <t>MULTI STORE GROUP SAS</t>
  </si>
  <si>
    <t>901625728</t>
  </si>
  <si>
    <t>AMERICA DEL SUR COLOMBIA SAS</t>
  </si>
  <si>
    <t>901669621</t>
  </si>
  <si>
    <t>STARLABELS MARQUILLAS Y MERCHANDISI</t>
  </si>
  <si>
    <t>901674711</t>
  </si>
  <si>
    <t>PRISMA MARKETING REAL SAS</t>
  </si>
  <si>
    <t>901675305</t>
  </si>
  <si>
    <t>INPRINTO SAS</t>
  </si>
  <si>
    <t>901677207</t>
  </si>
  <si>
    <t>MARCA NUESTRA SAS</t>
  </si>
  <si>
    <t>901711545</t>
  </si>
  <si>
    <t>GRUPO CASA PROMO S.A.S</t>
  </si>
  <si>
    <t>901716570</t>
  </si>
  <si>
    <t>PROMOCIONALES MARKETING S.A.S.</t>
  </si>
  <si>
    <t>901718137</t>
  </si>
  <si>
    <t>AROMO PUBLICIDAD SAS</t>
  </si>
  <si>
    <t>901720441</t>
  </si>
  <si>
    <t>ARTE DIGITAL ACI S.A.S</t>
  </si>
  <si>
    <t>901721120</t>
  </si>
  <si>
    <t>GRUPO AG3 S.A.S</t>
  </si>
  <si>
    <t>901767162</t>
  </si>
  <si>
    <t>GRAND BRAND PUBLICIDAD SAS</t>
  </si>
  <si>
    <t>901768159</t>
  </si>
  <si>
    <t>INSTINTO CREATIVO GROUP S.A.S.</t>
  </si>
  <si>
    <t>901768453</t>
  </si>
  <si>
    <t>PUNTO COLOR P&amp;M SAS</t>
  </si>
  <si>
    <t>901783572</t>
  </si>
  <si>
    <t>INNOVBO SAS</t>
  </si>
  <si>
    <t>901794104</t>
  </si>
  <si>
    <t>KABUL GROUP SAS</t>
  </si>
  <si>
    <t>901805092</t>
  </si>
  <si>
    <t>GLOBAL SPRINT DC SAS</t>
  </si>
  <si>
    <t>901806389</t>
  </si>
  <si>
    <t>PADEL ONE S.A.S</t>
  </si>
  <si>
    <t>901809921</t>
  </si>
  <si>
    <t>SEPHIA BTL SAS</t>
  </si>
  <si>
    <t>901814456</t>
  </si>
  <si>
    <t>MARKETHING S.A.S.</t>
  </si>
  <si>
    <t>901887281</t>
  </si>
  <si>
    <t>MIPIMPACT SAS</t>
  </si>
  <si>
    <t>901893424</t>
  </si>
  <si>
    <t>MP MARKETING E INVERSIONES CI SAS</t>
  </si>
  <si>
    <t>901908207</t>
  </si>
  <si>
    <t>TU MARCA PROMOCIONALES SAS</t>
  </si>
  <si>
    <t>901911294</t>
  </si>
  <si>
    <t>LA TIENDA PROMOCIONAL COLOMBIA SAS</t>
  </si>
  <si>
    <t>901964370</t>
  </si>
  <si>
    <t>MAKROPRINT S.A.S</t>
  </si>
  <si>
    <t>901979248</t>
  </si>
  <si>
    <t>MAKE IT 4D SAS</t>
  </si>
  <si>
    <t>902030677</t>
  </si>
  <si>
    <t>EMPRESA GRAFICA SAS</t>
  </si>
  <si>
    <t>91152549</t>
  </si>
  <si>
    <t>HERRERA SANCHEZ LUIS HUMBERTO</t>
  </si>
  <si>
    <t>91279353</t>
  </si>
  <si>
    <t>OVIEDO MORA OSCAR ORLANDO</t>
  </si>
  <si>
    <t>98430737</t>
  </si>
  <si>
    <t>SILVIO ERADIO QUIÑONES CORTES</t>
  </si>
  <si>
    <t>98557581</t>
  </si>
  <si>
    <t>RESTREPO VENEGAS ALEJANDRO</t>
  </si>
  <si>
    <t>C10 - J01</t>
  </si>
  <si>
    <t>TOTAL C10 - J01</t>
  </si>
  <si>
    <t>FLETES</t>
  </si>
  <si>
    <t>DTOS</t>
  </si>
  <si>
    <t>OC</t>
  </si>
  <si>
    <t xml:space="preserve">TOTAL FACTURA </t>
  </si>
  <si>
    <t>%</t>
  </si>
  <si>
    <t xml:space="preserve">BONO </t>
  </si>
  <si>
    <t>C10</t>
  </si>
  <si>
    <t>BONOS FEBRERO</t>
  </si>
  <si>
    <t>FACT SIN IMPUESTO</t>
  </si>
  <si>
    <t>BONO SODEXO</t>
  </si>
  <si>
    <t>OBSERVACIONES</t>
  </si>
  <si>
    <t>FACTURA 567255 - ESTUCHES</t>
  </si>
  <si>
    <t>FACTURAS 565167 Y 565168</t>
  </si>
  <si>
    <t>ANULACIÓN FACTURA 567726</t>
  </si>
  <si>
    <t>ANULACIÓN FACTURAS 567862-568135</t>
  </si>
  <si>
    <t>total bonos</t>
  </si>
  <si>
    <t>31392/31404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</si>
</sst>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22" x14ac:knownFonts="1">
    <font>
      <sz val="10"/>
      <name val="Courier Ne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0"/>
      <color rgb="FFFF0000"/>
      <name val="Courier New"/>
      <family val="3"/>
    </font>
    <font>
      <sz val="1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19" fillId="0" borderId="0" xfId="0" applyFont="1"/>
    <xf numFmtId="0" fontId="0" fillId="0" borderId="10" xfId="0" applyBorder="1"/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right"/>
    </xf>
    <xf numFmtId="0" fontId="0" fillId="34" borderId="0" xfId="0" applyFill="1"/>
    <xf numFmtId="0" fontId="0" fillId="0" borderId="11" xfId="0" applyBorder="1"/>
    <xf numFmtId="0" fontId="0" fillId="0" borderId="11" xfId="0" applyFont="1" applyBorder="1" applyAlignment="1">
      <alignment horizontal="left"/>
    </xf>
    <xf numFmtId="164" fontId="0" fillId="33" borderId="11" xfId="1" applyNumberFormat="1" applyFont="1" applyFill="1" applyBorder="1" applyAlignment="1">
      <alignment horizontal="right"/>
    </xf>
    <xf numFmtId="164" fontId="0" fillId="0" borderId="11" xfId="1" applyNumberFormat="1" applyFont="1" applyBorder="1" applyAlignment="1">
      <alignment horizontal="right"/>
    </xf>
    <xf numFmtId="0" fontId="0" fillId="34" borderId="11" xfId="0" applyFont="1" applyFill="1" applyBorder="1" applyAlignment="1">
      <alignment horizontal="left"/>
    </xf>
    <xf numFmtId="164" fontId="0" fillId="34" borderId="11" xfId="1" applyNumberFormat="1" applyFont="1" applyFill="1" applyBorder="1" applyAlignment="1">
      <alignment horizontal="right"/>
    </xf>
    <xf numFmtId="0" fontId="0" fillId="34" borderId="11" xfId="0" applyFill="1" applyBorder="1"/>
    <xf numFmtId="164" fontId="0" fillId="33" borderId="11" xfId="1" applyNumberFormat="1" applyFont="1" applyFill="1" applyBorder="1"/>
    <xf numFmtId="164" fontId="0" fillId="0" borderId="11" xfId="1" applyNumberFormat="1" applyFont="1" applyBorder="1"/>
    <xf numFmtId="164" fontId="0" fillId="34" borderId="11" xfId="1" applyNumberFormat="1" applyFont="1" applyFill="1" applyBorder="1"/>
    <xf numFmtId="44" fontId="0" fillId="0" borderId="11" xfId="1" applyNumberFormat="1" applyFont="1" applyBorder="1"/>
    <xf numFmtId="164" fontId="0" fillId="0" borderId="11" xfId="1" applyNumberFormat="1" applyFont="1" applyBorder="1" applyAlignment="1">
      <alignment horizontal="left"/>
    </xf>
    <xf numFmtId="164" fontId="0" fillId="34" borderId="11" xfId="1" applyNumberFormat="1" applyFont="1" applyFill="1" applyBorder="1" applyAlignment="1">
      <alignment horizontal="left"/>
    </xf>
    <xf numFmtId="164" fontId="0" fillId="35" borderId="11" xfId="1" applyNumberFormat="1" applyFont="1" applyFill="1" applyBorder="1" applyAlignment="1">
      <alignment horizontal="right"/>
    </xf>
    <xf numFmtId="0" fontId="0" fillId="35" borderId="11" xfId="0" applyFill="1" applyBorder="1"/>
    <xf numFmtId="0" fontId="0" fillId="0" borderId="11" xfId="0" applyBorder="1" applyAlignment="1">
      <alignment horizontal="center"/>
    </xf>
    <xf numFmtId="164" fontId="0" fillId="0" borderId="11" xfId="1" applyNumberFormat="1" applyFont="1" applyFill="1" applyBorder="1" applyAlignment="1">
      <alignment horizontal="center"/>
    </xf>
    <xf numFmtId="164" fontId="0" fillId="0" borderId="11" xfId="43" applyNumberFormat="1" applyFont="1" applyFill="1" applyBorder="1" applyAlignment="1">
      <alignment horizontal="center"/>
    </xf>
    <xf numFmtId="44" fontId="0" fillId="0" borderId="11" xfId="1" applyNumberFormat="1" applyFont="1" applyFill="1" applyBorder="1" applyAlignment="1">
      <alignment horizontal="center"/>
    </xf>
    <xf numFmtId="164" fontId="0" fillId="35" borderId="11" xfId="4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1" xfId="0" applyNumberFormat="1" applyBorder="1"/>
    <xf numFmtId="43" fontId="0" fillId="0" borderId="10" xfId="1" applyFont="1" applyBorder="1"/>
    <xf numFmtId="43" fontId="0" fillId="0" borderId="0" xfId="1" applyFont="1" applyAlignment="1">
      <alignment horizontal="right"/>
    </xf>
    <xf numFmtId="43" fontId="0" fillId="0" borderId="0" xfId="1" applyFont="1"/>
    <xf numFmtId="43" fontId="0" fillId="33" borderId="10" xfId="1" applyFont="1" applyFill="1" applyBorder="1"/>
    <xf numFmtId="43" fontId="0" fillId="33" borderId="0" xfId="1" applyFont="1" applyFill="1" applyAlignment="1">
      <alignment horizontal="right"/>
    </xf>
    <xf numFmtId="43" fontId="0" fillId="33" borderId="0" xfId="1" applyFont="1" applyFill="1"/>
    <xf numFmtId="9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0" fillId="33" borderId="11" xfId="0" applyFont="1" applyFill="1" applyBorder="1" applyAlignment="1">
      <alignment horizontal="left"/>
    </xf>
    <xf numFmtId="164" fontId="0" fillId="33" borderId="11" xfId="0" applyNumberFormat="1" applyFill="1" applyBorder="1"/>
    <xf numFmtId="0" fontId="0" fillId="33" borderId="11" xfId="0" applyFill="1" applyBorder="1"/>
    <xf numFmtId="0" fontId="0" fillId="33" borderId="0" xfId="0" applyFill="1"/>
    <xf numFmtId="164" fontId="20" fillId="0" borderId="11" xfId="0" applyNumberFormat="1" applyFont="1" applyBorder="1"/>
    <xf numFmtId="43" fontId="0" fillId="35" borderId="11" xfId="1" applyFont="1" applyFill="1" applyBorder="1" applyAlignment="1">
      <alignment horizontal="center"/>
    </xf>
    <xf numFmtId="43" fontId="0" fillId="35" borderId="11" xfId="1" applyFont="1" applyFill="1" applyBorder="1"/>
    <xf numFmtId="43" fontId="20" fillId="35" borderId="11" xfId="1" applyFont="1" applyFill="1" applyBorder="1"/>
    <xf numFmtId="43" fontId="21" fillId="35" borderId="11" xfId="1" applyFont="1" applyFill="1" applyBorder="1" applyAlignment="1">
      <alignment horizontal="center"/>
    </xf>
    <xf numFmtId="0" fontId="21" fillId="0" borderId="11" xfId="0" applyFont="1" applyBorder="1"/>
    <xf numFmtId="43" fontId="0" fillId="33" borderId="11" xfId="1" applyFont="1" applyFill="1" applyBorder="1"/>
    <xf numFmtId="164" fontId="0" fillId="0" borderId="11" xfId="1" applyNumberFormat="1" applyFont="1" applyFill="1" applyBorder="1" applyAlignment="1">
      <alignment horizontal="right"/>
    </xf>
    <xf numFmtId="0" fontId="0" fillId="0" borderId="0" xfId="0" applyFill="1"/>
    <xf numFmtId="0" fontId="0" fillId="0" borderId="11" xfId="0" applyFont="1" applyFill="1" applyBorder="1" applyAlignment="1">
      <alignment horizontal="left"/>
    </xf>
    <xf numFmtId="164" fontId="0" fillId="0" borderId="11" xfId="1" applyNumberFormat="1" applyFont="1" applyFill="1" applyBorder="1"/>
    <xf numFmtId="164" fontId="0" fillId="0" borderId="11" xfId="0" applyNumberFormat="1" applyFill="1" applyBorder="1"/>
    <xf numFmtId="0" fontId="0" fillId="0" borderId="11" xfId="0" applyFill="1" applyBorder="1"/>
    <xf numFmtId="9" fontId="0" fillId="0" borderId="11" xfId="0" applyNumberFormat="1" applyFill="1" applyBorder="1"/>
    <xf numFmtId="43" fontId="0" fillId="0" borderId="11" xfId="1" applyFont="1" applyFill="1" applyBorder="1"/>
    <xf numFmtId="43" fontId="0" fillId="0" borderId="0" xfId="0" applyNumberFormat="1"/>
    <xf numFmtId="10" fontId="0" fillId="33" borderId="11" xfId="0" applyNumberFormat="1" applyFill="1" applyBorder="1"/>
    <xf numFmtId="0" fontId="0" fillId="35" borderId="11" xfId="0" applyFont="1" applyFill="1" applyBorder="1" applyAlignment="1">
      <alignment horizontal="left"/>
    </xf>
    <xf numFmtId="164" fontId="0" fillId="35" borderId="11" xfId="1" applyNumberFormat="1" applyFont="1" applyFill="1" applyBorder="1"/>
    <xf numFmtId="164" fontId="0" fillId="35" borderId="11" xfId="0" applyNumberFormat="1" applyFill="1" applyBorder="1"/>
    <xf numFmtId="9" fontId="0" fillId="35" borderId="11" xfId="0" applyNumberFormat="1" applyFill="1" applyBorder="1"/>
    <xf numFmtId="0" fontId="0" fillId="35" borderId="0" xfId="0" applyFill="1"/>
    <xf numFmtId="0" fontId="0" fillId="36" borderId="11" xfId="0" applyFont="1" applyFill="1" applyBorder="1" applyAlignment="1">
      <alignment horizontal="left"/>
    </xf>
    <xf numFmtId="164" fontId="0" fillId="36" borderId="11" xfId="1" applyNumberFormat="1" applyFont="1" applyFill="1" applyBorder="1" applyAlignment="1">
      <alignment horizontal="right"/>
    </xf>
    <xf numFmtId="164" fontId="0" fillId="36" borderId="11" xfId="1" applyNumberFormat="1" applyFont="1" applyFill="1" applyBorder="1"/>
    <xf numFmtId="164" fontId="0" fillId="36" borderId="11" xfId="0" applyNumberFormat="1" applyFill="1" applyBorder="1"/>
    <xf numFmtId="0" fontId="0" fillId="36" borderId="11" xfId="0" applyFill="1" applyBorder="1"/>
    <xf numFmtId="10" fontId="0" fillId="36" borderId="11" xfId="0" applyNumberFormat="1" applyFill="1" applyBorder="1"/>
    <xf numFmtId="43" fontId="0" fillId="36" borderId="11" xfId="1" applyFont="1" applyFill="1" applyBorder="1"/>
    <xf numFmtId="0" fontId="0" fillId="36" borderId="0" xfId="0" applyFill="1"/>
  </cellXfs>
  <cellStyles count="57">
    <cellStyle name="20% - Énfasis1" xfId="20" builtinId="30" customBuiltin="1"/>
    <cellStyle name="20% - Énfasis1 2" xfId="45"/>
    <cellStyle name="20% - Énfasis2" xfId="24" builtinId="34" customBuiltin="1"/>
    <cellStyle name="20% - Énfasis2 2" xfId="47"/>
    <cellStyle name="20% - Énfasis3" xfId="28" builtinId="38" customBuiltin="1"/>
    <cellStyle name="20% - Énfasis3 2" xfId="49"/>
    <cellStyle name="20% - Énfasis4" xfId="32" builtinId="42" customBuiltin="1"/>
    <cellStyle name="20% - Énfasis4 2" xfId="51"/>
    <cellStyle name="20% - Énfasis5" xfId="36" builtinId="46" customBuiltin="1"/>
    <cellStyle name="20% - Énfasis5 2" xfId="53"/>
    <cellStyle name="20% - Énfasis6" xfId="40" builtinId="50" customBuiltin="1"/>
    <cellStyle name="20% - Énfasis6 2" xfId="55"/>
    <cellStyle name="40% - Énfasis1" xfId="21" builtinId="31" customBuiltin="1"/>
    <cellStyle name="40% - Énfasis1 2" xfId="46"/>
    <cellStyle name="40% - Énfasis2" xfId="25" builtinId="35" customBuiltin="1"/>
    <cellStyle name="40% - Énfasis2 2" xfId="48"/>
    <cellStyle name="40% - Énfasis3" xfId="29" builtinId="39" customBuiltin="1"/>
    <cellStyle name="40% - Énfasis3 2" xfId="50"/>
    <cellStyle name="40% - Énfasis4" xfId="33" builtinId="43" customBuiltin="1"/>
    <cellStyle name="40% - Énfasis4 2" xfId="52"/>
    <cellStyle name="40% - Énfasis5" xfId="37" builtinId="47" customBuiltin="1"/>
    <cellStyle name="40% - Énfasis5 2" xfId="54"/>
    <cellStyle name="40% - Énfasis6" xfId="41" builtinId="51" customBuiltin="1"/>
    <cellStyle name="40% - Énfasis6 2" xfId="56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Neutral" xfId="9" builtinId="28" customBuiltin="1"/>
    <cellStyle name="Normal" xfId="0" builtinId="0" customBuiltin="1"/>
    <cellStyle name="Notas" xfId="16" builtinId="10" customBuiltin="1"/>
    <cellStyle name="Notas 2" xfId="44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RowHeight="14.25" x14ac:dyDescent="0.2"/>
  <cols>
    <col min="1" max="1" width="31.625" style="1" bestFit="1" customWidth="1"/>
    <col min="2" max="2" width="55.5" style="1" bestFit="1" customWidth="1"/>
    <col min="3" max="16384" width="11" style="1"/>
  </cols>
  <sheetData>
    <row r="1" spans="1:2" x14ac:dyDescent="0.2">
      <c r="A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  <c r="B4" s="1" t="s">
        <v>4</v>
      </c>
    </row>
    <row r="5" spans="1:2" x14ac:dyDescent="0.2">
      <c r="A5" s="1" t="s">
        <v>5</v>
      </c>
      <c r="B5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"/>
  <sheetViews>
    <sheetView topLeftCell="A92" workbookViewId="0">
      <selection activeCell="G114" sqref="G114"/>
    </sheetView>
  </sheetViews>
  <sheetFormatPr baseColWidth="10" defaultRowHeight="13.5" x14ac:dyDescent="0.25"/>
  <cols>
    <col min="1" max="1" width="22.125" bestFit="1" customWidth="1"/>
    <col min="2" max="2" width="6.625" bestFit="1" customWidth="1"/>
    <col min="3" max="3" width="9.875" bestFit="1" customWidth="1"/>
    <col min="4" max="4" width="16" style="30" bestFit="1" customWidth="1"/>
    <col min="5" max="5" width="17.125" style="33" bestFit="1" customWidth="1"/>
    <col min="6" max="6" width="17.125" style="30" bestFit="1" customWidth="1"/>
    <col min="7" max="7" width="16" style="33" bestFit="1" customWidth="1"/>
    <col min="8" max="8" width="16" style="30" bestFit="1" customWidth="1"/>
  </cols>
  <sheetData>
    <row r="1" spans="1:8" ht="14.25" thickBot="1" x14ac:dyDescent="0.3">
      <c r="A1" s="2" t="s">
        <v>7</v>
      </c>
      <c r="B1" s="2" t="s">
        <v>8</v>
      </c>
      <c r="C1" s="2" t="s">
        <v>9</v>
      </c>
      <c r="D1" s="28" t="s">
        <v>10</v>
      </c>
      <c r="E1" s="31" t="s">
        <v>11</v>
      </c>
      <c r="F1" s="28" t="s">
        <v>12</v>
      </c>
      <c r="G1" s="31" t="s">
        <v>13</v>
      </c>
      <c r="H1" s="28" t="s">
        <v>14</v>
      </c>
    </row>
    <row r="2" spans="1:8" x14ac:dyDescent="0.25">
      <c r="A2" s="3" t="s">
        <v>15</v>
      </c>
      <c r="B2" s="3" t="s">
        <v>16</v>
      </c>
      <c r="C2" s="4">
        <v>83789</v>
      </c>
      <c r="D2" s="29">
        <v>0</v>
      </c>
      <c r="E2" s="32">
        <v>83789</v>
      </c>
      <c r="F2" s="29">
        <v>99708.91</v>
      </c>
      <c r="G2" s="32">
        <v>0</v>
      </c>
      <c r="H2" s="29">
        <v>0</v>
      </c>
    </row>
    <row r="3" spans="1:8" x14ac:dyDescent="0.25">
      <c r="A3" s="3" t="s">
        <v>17</v>
      </c>
      <c r="B3" s="3" t="s">
        <v>18</v>
      </c>
      <c r="C3" s="4">
        <v>4419746</v>
      </c>
      <c r="D3" s="29">
        <v>0</v>
      </c>
      <c r="E3" s="32">
        <v>4419746</v>
      </c>
      <c r="F3" s="29">
        <v>5259497.74</v>
      </c>
      <c r="G3" s="32">
        <v>446160</v>
      </c>
      <c r="H3" s="29">
        <v>530930.4</v>
      </c>
    </row>
    <row r="4" spans="1:8" x14ac:dyDescent="0.25">
      <c r="A4" s="3" t="s">
        <v>19</v>
      </c>
      <c r="B4" s="3" t="s">
        <v>20</v>
      </c>
      <c r="C4" s="4">
        <v>284274</v>
      </c>
      <c r="D4" s="29">
        <v>0</v>
      </c>
      <c r="E4" s="32">
        <v>284274</v>
      </c>
      <c r="F4" s="29">
        <v>338286.06</v>
      </c>
      <c r="G4" s="32">
        <v>0</v>
      </c>
      <c r="H4" s="29">
        <v>0</v>
      </c>
    </row>
    <row r="5" spans="1:8" x14ac:dyDescent="0.25">
      <c r="A5" s="3" t="s">
        <v>21</v>
      </c>
      <c r="B5" s="3" t="s">
        <v>22</v>
      </c>
      <c r="C5" s="4">
        <v>3648</v>
      </c>
      <c r="D5" s="29">
        <v>0</v>
      </c>
      <c r="E5" s="32">
        <v>3648</v>
      </c>
      <c r="F5" s="29">
        <v>4341.12</v>
      </c>
      <c r="G5" s="32">
        <v>0</v>
      </c>
      <c r="H5" s="29">
        <v>0</v>
      </c>
    </row>
    <row r="6" spans="1:8" x14ac:dyDescent="0.25">
      <c r="A6" s="3" t="s">
        <v>23</v>
      </c>
      <c r="B6" s="3" t="s">
        <v>24</v>
      </c>
      <c r="C6" s="4">
        <v>394057</v>
      </c>
      <c r="D6" s="29">
        <v>120000</v>
      </c>
      <c r="E6" s="32">
        <v>274057</v>
      </c>
      <c r="F6" s="29">
        <v>326127.83</v>
      </c>
      <c r="G6" s="32">
        <v>0</v>
      </c>
      <c r="H6" s="29">
        <v>0</v>
      </c>
    </row>
    <row r="7" spans="1:8" x14ac:dyDescent="0.25">
      <c r="A7" s="3" t="s">
        <v>25</v>
      </c>
      <c r="B7" s="3" t="s">
        <v>26</v>
      </c>
      <c r="C7" s="4">
        <v>36384</v>
      </c>
      <c r="D7" s="29">
        <v>0</v>
      </c>
      <c r="E7" s="32">
        <v>36384</v>
      </c>
      <c r="F7" s="29">
        <v>43296.959999999999</v>
      </c>
      <c r="G7" s="32">
        <v>0</v>
      </c>
      <c r="H7" s="29">
        <v>0</v>
      </c>
    </row>
    <row r="8" spans="1:8" x14ac:dyDescent="0.25">
      <c r="A8" s="3" t="s">
        <v>27</v>
      </c>
      <c r="B8" s="3" t="s">
        <v>28</v>
      </c>
      <c r="C8" s="4">
        <v>341611</v>
      </c>
      <c r="D8" s="29">
        <v>0</v>
      </c>
      <c r="E8" s="32">
        <v>341611</v>
      </c>
      <c r="F8" s="29">
        <v>406517.09</v>
      </c>
      <c r="G8" s="32">
        <v>0</v>
      </c>
      <c r="H8" s="29">
        <v>0</v>
      </c>
    </row>
    <row r="9" spans="1:8" x14ac:dyDescent="0.25">
      <c r="A9" s="3" t="s">
        <v>29</v>
      </c>
      <c r="B9" s="3" t="s">
        <v>30</v>
      </c>
      <c r="C9" s="4">
        <v>70800</v>
      </c>
      <c r="D9" s="29">
        <v>0</v>
      </c>
      <c r="E9" s="32">
        <v>70800</v>
      </c>
      <c r="F9" s="29">
        <v>84252</v>
      </c>
      <c r="G9" s="32">
        <v>0</v>
      </c>
      <c r="H9" s="29">
        <v>0</v>
      </c>
    </row>
    <row r="10" spans="1:8" x14ac:dyDescent="0.25">
      <c r="A10" s="3" t="s">
        <v>31</v>
      </c>
      <c r="B10" s="3" t="s">
        <v>32</v>
      </c>
      <c r="C10" s="4">
        <v>16215696</v>
      </c>
      <c r="D10" s="29">
        <v>0</v>
      </c>
      <c r="E10" s="32">
        <v>13598501</v>
      </c>
      <c r="F10" s="29">
        <v>16182216.189999999</v>
      </c>
      <c r="G10" s="32">
        <v>0</v>
      </c>
      <c r="H10" s="29">
        <v>0</v>
      </c>
    </row>
    <row r="11" spans="1:8" x14ac:dyDescent="0.25">
      <c r="A11" s="3" t="s">
        <v>33</v>
      </c>
      <c r="B11" s="3" t="s">
        <v>34</v>
      </c>
      <c r="C11" s="4">
        <v>91968</v>
      </c>
      <c r="D11" s="29">
        <v>0</v>
      </c>
      <c r="E11" s="32">
        <v>91968</v>
      </c>
      <c r="F11" s="29">
        <v>109441.92</v>
      </c>
      <c r="G11" s="32">
        <v>25824</v>
      </c>
      <c r="H11" s="29">
        <v>30730.560000000001</v>
      </c>
    </row>
    <row r="12" spans="1:8" x14ac:dyDescent="0.25">
      <c r="A12" s="3" t="s">
        <v>35</v>
      </c>
      <c r="B12" s="3" t="s">
        <v>36</v>
      </c>
      <c r="C12" s="4">
        <v>1153326.3999999999</v>
      </c>
      <c r="D12" s="29">
        <v>0</v>
      </c>
      <c r="E12" s="32">
        <v>541758</v>
      </c>
      <c r="F12" s="29">
        <v>644692.02</v>
      </c>
      <c r="G12" s="32">
        <v>0</v>
      </c>
      <c r="H12" s="29">
        <v>0</v>
      </c>
    </row>
    <row r="13" spans="1:8" x14ac:dyDescent="0.25">
      <c r="A13" s="3" t="s">
        <v>37</v>
      </c>
      <c r="B13" s="3" t="s">
        <v>38</v>
      </c>
      <c r="C13" s="4">
        <v>22266</v>
      </c>
      <c r="D13" s="29">
        <v>0</v>
      </c>
      <c r="E13" s="32">
        <v>22266</v>
      </c>
      <c r="F13" s="29">
        <v>26496.54</v>
      </c>
      <c r="G13" s="32">
        <v>0</v>
      </c>
      <c r="H13" s="29">
        <v>0</v>
      </c>
    </row>
    <row r="14" spans="1:8" x14ac:dyDescent="0.25">
      <c r="A14" s="3" t="s">
        <v>39</v>
      </c>
      <c r="B14" s="3" t="s">
        <v>40</v>
      </c>
      <c r="C14" s="4">
        <v>462276</v>
      </c>
      <c r="D14" s="29">
        <v>0</v>
      </c>
      <c r="E14" s="32">
        <v>462276</v>
      </c>
      <c r="F14" s="29">
        <v>550108.43999999994</v>
      </c>
      <c r="G14" s="32">
        <v>0</v>
      </c>
      <c r="H14" s="29">
        <v>0</v>
      </c>
    </row>
    <row r="15" spans="1:8" x14ac:dyDescent="0.25">
      <c r="A15" s="3" t="s">
        <v>41</v>
      </c>
      <c r="B15" s="3" t="s">
        <v>42</v>
      </c>
      <c r="C15" s="4">
        <v>3014774</v>
      </c>
      <c r="D15" s="29">
        <v>0</v>
      </c>
      <c r="E15" s="32">
        <v>5442428</v>
      </c>
      <c r="F15" s="29">
        <v>6476489.3200000003</v>
      </c>
      <c r="G15" s="32">
        <v>0</v>
      </c>
      <c r="H15" s="29">
        <v>0</v>
      </c>
    </row>
    <row r="16" spans="1:8" x14ac:dyDescent="0.25">
      <c r="A16" s="3" t="s">
        <v>43</v>
      </c>
      <c r="B16" s="3" t="s">
        <v>44</v>
      </c>
      <c r="C16" s="4">
        <v>1709162</v>
      </c>
      <c r="D16" s="29">
        <v>0</v>
      </c>
      <c r="E16" s="32">
        <v>1709162</v>
      </c>
      <c r="F16" s="29">
        <v>2033902.78</v>
      </c>
      <c r="G16" s="32">
        <v>0</v>
      </c>
      <c r="H16" s="29">
        <v>0</v>
      </c>
    </row>
    <row r="17" spans="1:8" x14ac:dyDescent="0.25">
      <c r="A17" s="3" t="s">
        <v>45</v>
      </c>
      <c r="B17" s="3" t="s">
        <v>46</v>
      </c>
      <c r="C17" s="4">
        <v>128000</v>
      </c>
      <c r="D17" s="29">
        <v>0</v>
      </c>
      <c r="E17" s="32">
        <v>128000</v>
      </c>
      <c r="F17" s="29">
        <v>134194</v>
      </c>
      <c r="G17" s="32">
        <v>0</v>
      </c>
      <c r="H17" s="29">
        <v>0</v>
      </c>
    </row>
    <row r="18" spans="1:8" x14ac:dyDescent="0.25">
      <c r="A18" s="3" t="s">
        <v>47</v>
      </c>
      <c r="B18" s="3" t="s">
        <v>48</v>
      </c>
      <c r="C18" s="4">
        <v>80861563</v>
      </c>
      <c r="D18" s="29">
        <v>4335090</v>
      </c>
      <c r="E18" s="32">
        <v>55714114</v>
      </c>
      <c r="F18" s="29">
        <v>65964045.140000001</v>
      </c>
      <c r="G18" s="32">
        <v>0</v>
      </c>
      <c r="H18" s="29">
        <v>0</v>
      </c>
    </row>
    <row r="19" spans="1:8" x14ac:dyDescent="0.25">
      <c r="A19" s="3" t="s">
        <v>49</v>
      </c>
      <c r="B19" s="3" t="s">
        <v>50</v>
      </c>
      <c r="C19" s="4">
        <v>14510900</v>
      </c>
      <c r="D19" s="29">
        <v>0</v>
      </c>
      <c r="E19" s="32">
        <v>12358860</v>
      </c>
      <c r="F19" s="29">
        <v>14707043.4</v>
      </c>
      <c r="G19" s="32">
        <v>0</v>
      </c>
      <c r="H19" s="29">
        <v>0</v>
      </c>
    </row>
    <row r="20" spans="1:8" x14ac:dyDescent="0.25">
      <c r="A20" s="3" t="s">
        <v>51</v>
      </c>
      <c r="B20" s="3" t="s">
        <v>52</v>
      </c>
      <c r="C20" s="4">
        <v>714000</v>
      </c>
      <c r="D20" s="29">
        <v>0</v>
      </c>
      <c r="E20" s="32">
        <v>3495375</v>
      </c>
      <c r="F20" s="29">
        <v>4159496.25</v>
      </c>
      <c r="G20" s="32">
        <v>0</v>
      </c>
      <c r="H20" s="29">
        <v>0</v>
      </c>
    </row>
    <row r="21" spans="1:8" x14ac:dyDescent="0.25">
      <c r="A21" s="3" t="s">
        <v>53</v>
      </c>
      <c r="B21" s="3" t="s">
        <v>54</v>
      </c>
      <c r="C21" s="4">
        <v>2016300</v>
      </c>
      <c r="D21" s="29">
        <v>0</v>
      </c>
      <c r="E21" s="32">
        <v>2016300</v>
      </c>
      <c r="F21" s="29">
        <v>2399397</v>
      </c>
      <c r="G21" s="32">
        <v>0</v>
      </c>
      <c r="H21" s="29">
        <v>0</v>
      </c>
    </row>
    <row r="22" spans="1:8" x14ac:dyDescent="0.25">
      <c r="A22" s="3" t="s">
        <v>55</v>
      </c>
      <c r="B22" s="3" t="s">
        <v>56</v>
      </c>
      <c r="C22" s="4">
        <v>4844531</v>
      </c>
      <c r="D22" s="29">
        <v>0</v>
      </c>
      <c r="E22" s="32">
        <v>4844531</v>
      </c>
      <c r="F22" s="29">
        <v>5764991.8899999997</v>
      </c>
      <c r="G22" s="32">
        <v>0</v>
      </c>
      <c r="H22" s="29">
        <v>0</v>
      </c>
    </row>
    <row r="23" spans="1:8" x14ac:dyDescent="0.25">
      <c r="A23" s="3" t="s">
        <v>57</v>
      </c>
      <c r="B23" s="3" t="s">
        <v>58</v>
      </c>
      <c r="C23" s="4">
        <v>28277</v>
      </c>
      <c r="D23" s="29">
        <v>0</v>
      </c>
      <c r="E23" s="32">
        <v>28277</v>
      </c>
      <c r="F23" s="29">
        <v>33649.629999999997</v>
      </c>
      <c r="G23" s="32">
        <v>0</v>
      </c>
      <c r="H23" s="29">
        <v>0</v>
      </c>
    </row>
    <row r="24" spans="1:8" x14ac:dyDescent="0.25">
      <c r="A24" s="3" t="s">
        <v>59</v>
      </c>
      <c r="B24" s="3" t="s">
        <v>60</v>
      </c>
      <c r="C24" s="4">
        <v>1759479</v>
      </c>
      <c r="D24" s="29">
        <v>0</v>
      </c>
      <c r="E24" s="32">
        <v>5311294</v>
      </c>
      <c r="F24" s="29">
        <v>6320439.8600000003</v>
      </c>
      <c r="G24" s="32">
        <v>101945</v>
      </c>
      <c r="H24" s="29">
        <v>101945</v>
      </c>
    </row>
    <row r="25" spans="1:8" x14ac:dyDescent="0.25">
      <c r="A25" s="3" t="s">
        <v>61</v>
      </c>
      <c r="B25" s="3" t="s">
        <v>62</v>
      </c>
      <c r="C25" s="4">
        <v>1990935</v>
      </c>
      <c r="D25" s="29">
        <v>0</v>
      </c>
      <c r="E25" s="32">
        <v>1990935</v>
      </c>
      <c r="F25" s="29">
        <v>2369212.65</v>
      </c>
      <c r="G25" s="32">
        <v>0</v>
      </c>
      <c r="H25" s="29">
        <v>0</v>
      </c>
    </row>
    <row r="26" spans="1:8" x14ac:dyDescent="0.25">
      <c r="A26" s="3" t="s">
        <v>63</v>
      </c>
      <c r="B26" s="3" t="s">
        <v>64</v>
      </c>
      <c r="C26" s="4">
        <v>2069684</v>
      </c>
      <c r="D26" s="29">
        <v>0</v>
      </c>
      <c r="E26" s="32">
        <v>2210804</v>
      </c>
      <c r="F26" s="29">
        <v>2630856.7599999998</v>
      </c>
      <c r="G26" s="32">
        <v>0</v>
      </c>
      <c r="H26" s="29">
        <v>0</v>
      </c>
    </row>
    <row r="27" spans="1:8" x14ac:dyDescent="0.25">
      <c r="A27" s="3" t="s">
        <v>65</v>
      </c>
      <c r="B27" s="3" t="s">
        <v>66</v>
      </c>
      <c r="C27" s="4">
        <v>2037200</v>
      </c>
      <c r="D27" s="29">
        <v>0</v>
      </c>
      <c r="E27" s="32">
        <v>2037200</v>
      </c>
      <c r="F27" s="29">
        <v>2424268</v>
      </c>
      <c r="G27" s="32">
        <v>0</v>
      </c>
      <c r="H27" s="29">
        <v>0</v>
      </c>
    </row>
    <row r="28" spans="1:8" x14ac:dyDescent="0.25">
      <c r="A28" s="3" t="s">
        <v>67</v>
      </c>
      <c r="B28" s="3" t="s">
        <v>68</v>
      </c>
      <c r="C28" s="4">
        <v>66384</v>
      </c>
      <c r="D28" s="29">
        <v>0</v>
      </c>
      <c r="E28" s="32">
        <v>66384</v>
      </c>
      <c r="F28" s="29">
        <v>78996.960000000006</v>
      </c>
      <c r="G28" s="32">
        <v>0</v>
      </c>
      <c r="H28" s="29">
        <v>0</v>
      </c>
    </row>
    <row r="29" spans="1:8" x14ac:dyDescent="0.25">
      <c r="A29" s="3" t="s">
        <v>69</v>
      </c>
      <c r="B29" s="3" t="s">
        <v>70</v>
      </c>
      <c r="C29" s="4">
        <v>590940</v>
      </c>
      <c r="D29" s="29">
        <v>0</v>
      </c>
      <c r="E29" s="32">
        <v>590940</v>
      </c>
      <c r="F29" s="29">
        <v>703218.6</v>
      </c>
      <c r="G29" s="32">
        <v>0</v>
      </c>
      <c r="H29" s="29">
        <v>0</v>
      </c>
    </row>
    <row r="30" spans="1:8" x14ac:dyDescent="0.25">
      <c r="A30" s="3" t="s">
        <v>71</v>
      </c>
      <c r="B30" s="3" t="s">
        <v>72</v>
      </c>
      <c r="C30" s="4">
        <v>3945574</v>
      </c>
      <c r="D30" s="29">
        <v>0</v>
      </c>
      <c r="E30" s="32">
        <v>3945574</v>
      </c>
      <c r="F30" s="29">
        <v>4695233.0599999996</v>
      </c>
      <c r="G30" s="32">
        <v>0</v>
      </c>
      <c r="H30" s="29">
        <v>0</v>
      </c>
    </row>
    <row r="31" spans="1:8" x14ac:dyDescent="0.25">
      <c r="A31" s="3" t="s">
        <v>73</v>
      </c>
      <c r="B31" s="3" t="s">
        <v>74</v>
      </c>
      <c r="C31" s="4">
        <v>11510305</v>
      </c>
      <c r="D31" s="29">
        <v>0</v>
      </c>
      <c r="E31" s="32">
        <v>11510305</v>
      </c>
      <c r="F31" s="29">
        <v>13697262.949999999</v>
      </c>
      <c r="G31" s="32">
        <v>0</v>
      </c>
      <c r="H31" s="29">
        <v>0</v>
      </c>
    </row>
    <row r="32" spans="1:8" x14ac:dyDescent="0.25">
      <c r="A32" s="3" t="s">
        <v>75</v>
      </c>
      <c r="B32" s="3" t="s">
        <v>76</v>
      </c>
      <c r="C32" s="4">
        <v>1809960</v>
      </c>
      <c r="D32" s="29">
        <v>0</v>
      </c>
      <c r="E32" s="32">
        <v>1809960</v>
      </c>
      <c r="F32" s="29">
        <v>2153852.4</v>
      </c>
      <c r="G32" s="32">
        <v>0</v>
      </c>
      <c r="H32" s="29">
        <v>0</v>
      </c>
    </row>
    <row r="33" spans="1:8" x14ac:dyDescent="0.25">
      <c r="A33" s="3" t="s">
        <v>77</v>
      </c>
      <c r="B33" s="3" t="s">
        <v>78</v>
      </c>
      <c r="C33" s="4">
        <v>12432</v>
      </c>
      <c r="D33" s="29">
        <v>0</v>
      </c>
      <c r="E33" s="32">
        <v>12432</v>
      </c>
      <c r="F33" s="29">
        <v>14794.08</v>
      </c>
      <c r="G33" s="32">
        <v>0</v>
      </c>
      <c r="H33" s="29">
        <v>0</v>
      </c>
    </row>
    <row r="34" spans="1:8" x14ac:dyDescent="0.25">
      <c r="A34" s="3" t="s">
        <v>79</v>
      </c>
      <c r="B34" s="3" t="s">
        <v>80</v>
      </c>
      <c r="C34" s="4">
        <v>384992</v>
      </c>
      <c r="D34" s="29">
        <v>0</v>
      </c>
      <c r="E34" s="32">
        <v>384992</v>
      </c>
      <c r="F34" s="29">
        <v>387080.48</v>
      </c>
      <c r="G34" s="32">
        <v>0</v>
      </c>
      <c r="H34" s="29">
        <v>0</v>
      </c>
    </row>
    <row r="35" spans="1:8" x14ac:dyDescent="0.25">
      <c r="A35" s="3" t="s">
        <v>81</v>
      </c>
      <c r="B35" s="3" t="s">
        <v>82</v>
      </c>
      <c r="C35" s="4">
        <v>54323309.210000001</v>
      </c>
      <c r="D35" s="29">
        <v>204920</v>
      </c>
      <c r="E35" s="32">
        <v>53555599.799999997</v>
      </c>
      <c r="F35" s="29">
        <v>63706512.399999999</v>
      </c>
      <c r="G35" s="32">
        <v>5392582</v>
      </c>
      <c r="H35" s="29">
        <v>5392582</v>
      </c>
    </row>
    <row r="36" spans="1:8" x14ac:dyDescent="0.25">
      <c r="A36" s="3" t="s">
        <v>83</v>
      </c>
      <c r="B36" s="3" t="s">
        <v>84</v>
      </c>
      <c r="C36" s="4">
        <v>1125668</v>
      </c>
      <c r="D36" s="29">
        <v>0</v>
      </c>
      <c r="E36" s="32">
        <v>1125668</v>
      </c>
      <c r="F36" s="29">
        <v>1339544.92</v>
      </c>
      <c r="G36" s="32">
        <v>0</v>
      </c>
      <c r="H36" s="29">
        <v>0</v>
      </c>
    </row>
    <row r="37" spans="1:8" x14ac:dyDescent="0.25">
      <c r="A37" s="3" t="s">
        <v>85</v>
      </c>
      <c r="B37" s="3" t="s">
        <v>86</v>
      </c>
      <c r="C37" s="4">
        <v>355400</v>
      </c>
      <c r="D37" s="29">
        <v>0</v>
      </c>
      <c r="E37" s="32">
        <v>355400</v>
      </c>
      <c r="F37" s="29">
        <v>422926</v>
      </c>
      <c r="G37" s="32">
        <v>0</v>
      </c>
      <c r="H37" s="29">
        <v>0</v>
      </c>
    </row>
    <row r="38" spans="1:8" x14ac:dyDescent="0.25">
      <c r="A38" s="3" t="s">
        <v>87</v>
      </c>
      <c r="B38" s="3" t="s">
        <v>88</v>
      </c>
      <c r="C38" s="4">
        <v>91722</v>
      </c>
      <c r="D38" s="29">
        <v>0</v>
      </c>
      <c r="E38" s="32">
        <v>91722</v>
      </c>
      <c r="F38" s="29">
        <v>109149.18</v>
      </c>
      <c r="G38" s="32">
        <v>0</v>
      </c>
      <c r="H38" s="29">
        <v>0</v>
      </c>
    </row>
    <row r="39" spans="1:8" x14ac:dyDescent="0.25">
      <c r="A39" s="3" t="s">
        <v>89</v>
      </c>
      <c r="B39" s="3" t="s">
        <v>90</v>
      </c>
      <c r="C39" s="4">
        <v>140112</v>
      </c>
      <c r="D39" s="29">
        <v>0</v>
      </c>
      <c r="E39" s="32">
        <v>140112</v>
      </c>
      <c r="F39" s="29">
        <v>166733.28</v>
      </c>
      <c r="G39" s="32">
        <v>0</v>
      </c>
      <c r="H39" s="29">
        <v>0</v>
      </c>
    </row>
    <row r="40" spans="1:8" x14ac:dyDescent="0.25">
      <c r="A40" s="3" t="s">
        <v>91</v>
      </c>
      <c r="B40" s="3" t="s">
        <v>92</v>
      </c>
      <c r="C40" s="4">
        <v>4722000</v>
      </c>
      <c r="D40" s="29">
        <v>0</v>
      </c>
      <c r="E40" s="32">
        <v>4722000</v>
      </c>
      <c r="F40" s="29">
        <v>5619180</v>
      </c>
      <c r="G40" s="32">
        <v>0</v>
      </c>
      <c r="H40" s="29">
        <v>0</v>
      </c>
    </row>
    <row r="41" spans="1:8" x14ac:dyDescent="0.25">
      <c r="A41" s="3" t="s">
        <v>93</v>
      </c>
      <c r="B41" s="3" t="s">
        <v>94</v>
      </c>
      <c r="C41" s="4">
        <v>1572187</v>
      </c>
      <c r="D41" s="29">
        <v>0</v>
      </c>
      <c r="E41" s="32">
        <v>1572187</v>
      </c>
      <c r="F41" s="29">
        <v>1870902.53</v>
      </c>
      <c r="G41" s="32">
        <v>0</v>
      </c>
      <c r="H41" s="29">
        <v>0</v>
      </c>
    </row>
    <row r="42" spans="1:8" x14ac:dyDescent="0.25">
      <c r="A42" s="3" t="s">
        <v>95</v>
      </c>
      <c r="B42" s="3" t="s">
        <v>96</v>
      </c>
      <c r="C42" s="4">
        <v>32726.01</v>
      </c>
      <c r="D42" s="29">
        <v>340.64</v>
      </c>
      <c r="E42" s="32">
        <v>34822</v>
      </c>
      <c r="F42" s="29">
        <v>34822</v>
      </c>
      <c r="G42" s="32">
        <v>0</v>
      </c>
      <c r="H42" s="29">
        <v>0</v>
      </c>
    </row>
    <row r="43" spans="1:8" x14ac:dyDescent="0.25">
      <c r="A43" s="3" t="s">
        <v>97</v>
      </c>
      <c r="B43" s="3" t="s">
        <v>98</v>
      </c>
      <c r="C43" s="4">
        <v>15395.43</v>
      </c>
      <c r="D43" s="29">
        <v>609</v>
      </c>
      <c r="E43" s="32">
        <v>8901.14</v>
      </c>
      <c r="F43" s="29">
        <v>8901.14</v>
      </c>
      <c r="G43" s="32">
        <v>0</v>
      </c>
      <c r="H43" s="29">
        <v>0</v>
      </c>
    </row>
    <row r="44" spans="1:8" x14ac:dyDescent="0.25">
      <c r="A44" s="3" t="s">
        <v>99</v>
      </c>
      <c r="B44" s="3" t="s">
        <v>100</v>
      </c>
      <c r="C44" s="4">
        <v>0</v>
      </c>
      <c r="D44" s="29">
        <v>0</v>
      </c>
      <c r="E44" s="32">
        <v>3225</v>
      </c>
      <c r="F44" s="29">
        <v>3225</v>
      </c>
      <c r="G44" s="32">
        <v>0</v>
      </c>
      <c r="H44" s="29">
        <v>0</v>
      </c>
    </row>
    <row r="45" spans="1:8" x14ac:dyDescent="0.25">
      <c r="A45" s="3" t="s">
        <v>101</v>
      </c>
      <c r="B45" s="3" t="s">
        <v>102</v>
      </c>
      <c r="C45" s="4">
        <v>133981</v>
      </c>
      <c r="D45" s="29">
        <v>0</v>
      </c>
      <c r="E45" s="32">
        <v>133981</v>
      </c>
      <c r="F45" s="29">
        <v>159437.39000000001</v>
      </c>
      <c r="G45" s="32">
        <v>0</v>
      </c>
      <c r="H45" s="29">
        <v>0</v>
      </c>
    </row>
    <row r="46" spans="1:8" x14ac:dyDescent="0.25">
      <c r="A46" s="3" t="s">
        <v>103</v>
      </c>
      <c r="B46" s="3" t="s">
        <v>104</v>
      </c>
      <c r="C46" s="4">
        <v>1974000</v>
      </c>
      <c r="D46" s="29">
        <v>0</v>
      </c>
      <c r="E46" s="32">
        <v>1974000</v>
      </c>
      <c r="F46" s="29">
        <v>2349060</v>
      </c>
      <c r="G46" s="32">
        <v>0</v>
      </c>
      <c r="H46" s="29">
        <v>0</v>
      </c>
    </row>
    <row r="47" spans="1:8" x14ac:dyDescent="0.25">
      <c r="A47" s="3" t="s">
        <v>105</v>
      </c>
      <c r="B47" s="3" t="s">
        <v>106</v>
      </c>
      <c r="C47" s="4">
        <v>4651</v>
      </c>
      <c r="D47" s="29">
        <v>0</v>
      </c>
      <c r="E47" s="32">
        <v>4651</v>
      </c>
      <c r="F47" s="29">
        <v>5534.69</v>
      </c>
      <c r="G47" s="32">
        <v>0</v>
      </c>
      <c r="H47" s="29">
        <v>0</v>
      </c>
    </row>
    <row r="48" spans="1:8" x14ac:dyDescent="0.25">
      <c r="A48" s="3" t="s">
        <v>107</v>
      </c>
      <c r="B48" s="3" t="s">
        <v>108</v>
      </c>
      <c r="C48" s="4">
        <v>9360</v>
      </c>
      <c r="D48" s="29">
        <v>0</v>
      </c>
      <c r="E48" s="32">
        <v>9360</v>
      </c>
      <c r="F48" s="29">
        <v>11138.4</v>
      </c>
      <c r="G48" s="32">
        <v>0</v>
      </c>
      <c r="H48" s="29">
        <v>0</v>
      </c>
    </row>
    <row r="49" spans="1:8" x14ac:dyDescent="0.25">
      <c r="A49" s="3" t="s">
        <v>109</v>
      </c>
      <c r="B49" s="3" t="s">
        <v>110</v>
      </c>
      <c r="C49" s="4">
        <v>243096</v>
      </c>
      <c r="D49" s="29">
        <v>0</v>
      </c>
      <c r="E49" s="32">
        <v>0</v>
      </c>
      <c r="F49" s="29">
        <v>0</v>
      </c>
      <c r="G49" s="32">
        <v>0</v>
      </c>
      <c r="H49" s="29">
        <v>0</v>
      </c>
    </row>
    <row r="50" spans="1:8" x14ac:dyDescent="0.25">
      <c r="A50" s="3" t="s">
        <v>111</v>
      </c>
      <c r="B50" s="3" t="s">
        <v>112</v>
      </c>
      <c r="C50" s="4">
        <v>1080300</v>
      </c>
      <c r="D50" s="29">
        <v>0</v>
      </c>
      <c r="E50" s="32">
        <v>1080300</v>
      </c>
      <c r="F50" s="29">
        <v>1285557</v>
      </c>
      <c r="G50" s="32">
        <v>0</v>
      </c>
      <c r="H50" s="29">
        <v>0</v>
      </c>
    </row>
    <row r="51" spans="1:8" x14ac:dyDescent="0.25">
      <c r="A51" s="3" t="s">
        <v>113</v>
      </c>
      <c r="B51" s="3" t="s">
        <v>114</v>
      </c>
      <c r="C51" s="4">
        <v>270000</v>
      </c>
      <c r="D51" s="29">
        <v>0</v>
      </c>
      <c r="E51" s="32">
        <v>270000</v>
      </c>
      <c r="F51" s="29">
        <v>321300</v>
      </c>
      <c r="G51" s="32">
        <v>0</v>
      </c>
      <c r="H51" s="29">
        <v>0</v>
      </c>
    </row>
    <row r="52" spans="1:8" x14ac:dyDescent="0.25">
      <c r="A52" s="3" t="s">
        <v>115</v>
      </c>
      <c r="B52" s="3" t="s">
        <v>116</v>
      </c>
      <c r="C52" s="4">
        <v>3573547</v>
      </c>
      <c r="D52" s="29">
        <v>0</v>
      </c>
      <c r="E52" s="32">
        <v>3573547</v>
      </c>
      <c r="F52" s="29">
        <v>4252520.93</v>
      </c>
      <c r="G52" s="32">
        <v>0</v>
      </c>
      <c r="H52" s="29">
        <v>0</v>
      </c>
    </row>
    <row r="53" spans="1:8" x14ac:dyDescent="0.25">
      <c r="A53" s="3" t="s">
        <v>117</v>
      </c>
      <c r="B53" s="3" t="s">
        <v>118</v>
      </c>
      <c r="C53" s="4">
        <v>619350</v>
      </c>
      <c r="D53" s="29">
        <v>0</v>
      </c>
      <c r="E53" s="32">
        <v>619350</v>
      </c>
      <c r="F53" s="29">
        <v>737026.5</v>
      </c>
      <c r="G53" s="32">
        <v>0</v>
      </c>
      <c r="H53" s="29">
        <v>0</v>
      </c>
    </row>
    <row r="54" spans="1:8" x14ac:dyDescent="0.25">
      <c r="A54" s="3" t="s">
        <v>119</v>
      </c>
      <c r="B54" s="3" t="s">
        <v>120</v>
      </c>
      <c r="C54" s="4">
        <v>124995</v>
      </c>
      <c r="D54" s="29">
        <v>0</v>
      </c>
      <c r="E54" s="32">
        <v>124995</v>
      </c>
      <c r="F54" s="29">
        <v>148744.04999999999</v>
      </c>
      <c r="G54" s="32">
        <v>0</v>
      </c>
      <c r="H54" s="29">
        <v>0</v>
      </c>
    </row>
    <row r="55" spans="1:8" x14ac:dyDescent="0.25">
      <c r="A55" s="3" t="s">
        <v>121</v>
      </c>
      <c r="B55" s="3" t="s">
        <v>122</v>
      </c>
      <c r="C55" s="4">
        <v>5832591</v>
      </c>
      <c r="D55" s="29">
        <v>0</v>
      </c>
      <c r="E55" s="32">
        <v>5799991</v>
      </c>
      <c r="F55" s="29">
        <v>6368469.29</v>
      </c>
      <c r="G55" s="32">
        <v>0</v>
      </c>
      <c r="H55" s="29">
        <v>0</v>
      </c>
    </row>
    <row r="56" spans="1:8" x14ac:dyDescent="0.25">
      <c r="A56" s="3" t="s">
        <v>123</v>
      </c>
      <c r="B56" s="3" t="s">
        <v>124</v>
      </c>
      <c r="C56" s="4">
        <v>1240802</v>
      </c>
      <c r="D56" s="29">
        <v>0</v>
      </c>
      <c r="E56" s="32">
        <v>540500</v>
      </c>
      <c r="F56" s="29">
        <v>643195</v>
      </c>
      <c r="G56" s="32">
        <v>0</v>
      </c>
      <c r="H56" s="29">
        <v>0</v>
      </c>
    </row>
    <row r="57" spans="1:8" x14ac:dyDescent="0.25">
      <c r="A57" s="3" t="s">
        <v>125</v>
      </c>
      <c r="B57" s="3" t="s">
        <v>126</v>
      </c>
      <c r="C57" s="4">
        <v>9586296</v>
      </c>
      <c r="D57" s="29">
        <v>0</v>
      </c>
      <c r="E57" s="32">
        <v>6791688</v>
      </c>
      <c r="F57" s="29">
        <v>8082108.7199999997</v>
      </c>
      <c r="G57" s="32">
        <v>0</v>
      </c>
      <c r="H57" s="29">
        <v>0</v>
      </c>
    </row>
    <row r="58" spans="1:8" x14ac:dyDescent="0.25">
      <c r="A58" s="3" t="s">
        <v>127</v>
      </c>
      <c r="B58" s="3" t="s">
        <v>128</v>
      </c>
      <c r="C58" s="4">
        <v>17397882</v>
      </c>
      <c r="D58" s="29">
        <v>100</v>
      </c>
      <c r="E58" s="32">
        <v>16230935</v>
      </c>
      <c r="F58" s="29">
        <v>19314812.649999999</v>
      </c>
      <c r="G58" s="32">
        <v>0</v>
      </c>
      <c r="H58" s="29">
        <v>0</v>
      </c>
    </row>
    <row r="59" spans="1:8" x14ac:dyDescent="0.25">
      <c r="A59" s="3" t="s">
        <v>129</v>
      </c>
      <c r="B59" s="3" t="s">
        <v>130</v>
      </c>
      <c r="C59" s="4">
        <v>1852668</v>
      </c>
      <c r="D59" s="29">
        <v>0</v>
      </c>
      <c r="E59" s="32">
        <v>1852668</v>
      </c>
      <c r="F59" s="29">
        <v>2204674.92</v>
      </c>
      <c r="G59" s="32">
        <v>0</v>
      </c>
      <c r="H59" s="29">
        <v>0</v>
      </c>
    </row>
    <row r="60" spans="1:8" x14ac:dyDescent="0.25">
      <c r="A60" s="3" t="s">
        <v>131</v>
      </c>
      <c r="B60" s="3" t="s">
        <v>132</v>
      </c>
      <c r="C60" s="4">
        <v>31793909</v>
      </c>
      <c r="D60" s="29">
        <v>0</v>
      </c>
      <c r="E60" s="32">
        <v>32181842</v>
      </c>
      <c r="F60" s="29">
        <v>38066495.780000001</v>
      </c>
      <c r="G60" s="32">
        <v>0</v>
      </c>
      <c r="H60" s="29">
        <v>0</v>
      </c>
    </row>
    <row r="61" spans="1:8" x14ac:dyDescent="0.25">
      <c r="A61" s="3" t="s">
        <v>133</v>
      </c>
      <c r="B61" s="3" t="s">
        <v>134</v>
      </c>
      <c r="C61" s="4">
        <v>5129742</v>
      </c>
      <c r="D61" s="29">
        <v>0</v>
      </c>
      <c r="E61" s="32">
        <v>5129742</v>
      </c>
      <c r="F61" s="29">
        <v>6104392.9800000004</v>
      </c>
      <c r="G61" s="32">
        <v>0</v>
      </c>
      <c r="H61" s="29">
        <v>0</v>
      </c>
    </row>
    <row r="62" spans="1:8" x14ac:dyDescent="0.25">
      <c r="A62" s="3" t="s">
        <v>135</v>
      </c>
      <c r="B62" s="3" t="s">
        <v>136</v>
      </c>
      <c r="C62" s="4">
        <v>1820808</v>
      </c>
      <c r="D62" s="29">
        <v>0</v>
      </c>
      <c r="E62" s="32">
        <v>1820800</v>
      </c>
      <c r="F62" s="29">
        <v>2166752</v>
      </c>
      <c r="G62" s="32">
        <v>0</v>
      </c>
      <c r="H62" s="29">
        <v>0</v>
      </c>
    </row>
    <row r="63" spans="1:8" x14ac:dyDescent="0.25">
      <c r="A63" s="3" t="s">
        <v>137</v>
      </c>
      <c r="B63" s="3" t="s">
        <v>138</v>
      </c>
      <c r="C63" s="4">
        <v>1458740</v>
      </c>
      <c r="D63" s="29">
        <v>0</v>
      </c>
      <c r="E63" s="32">
        <v>1458740</v>
      </c>
      <c r="F63" s="29">
        <v>1735900.6</v>
      </c>
      <c r="G63" s="32">
        <v>0</v>
      </c>
      <c r="H63" s="29">
        <v>0</v>
      </c>
    </row>
    <row r="64" spans="1:8" x14ac:dyDescent="0.25">
      <c r="A64" s="3" t="s">
        <v>139</v>
      </c>
      <c r="B64" s="3" t="s">
        <v>140</v>
      </c>
      <c r="C64" s="4">
        <v>163824</v>
      </c>
      <c r="D64" s="29">
        <v>0</v>
      </c>
      <c r="E64" s="32">
        <v>163824</v>
      </c>
      <c r="F64" s="29">
        <v>194950.56</v>
      </c>
      <c r="G64" s="32">
        <v>0</v>
      </c>
      <c r="H64" s="29">
        <v>0</v>
      </c>
    </row>
    <row r="65" spans="1:8" x14ac:dyDescent="0.25">
      <c r="A65" s="3" t="s">
        <v>141</v>
      </c>
      <c r="B65" s="3" t="s">
        <v>142</v>
      </c>
      <c r="C65" s="4">
        <v>840650</v>
      </c>
      <c r="D65" s="29">
        <v>0</v>
      </c>
      <c r="E65" s="32">
        <v>840650</v>
      </c>
      <c r="F65" s="29">
        <v>1000373.5</v>
      </c>
      <c r="G65" s="32">
        <v>0</v>
      </c>
      <c r="H65" s="29">
        <v>0</v>
      </c>
    </row>
    <row r="66" spans="1:8" x14ac:dyDescent="0.25">
      <c r="A66" s="3" t="s">
        <v>143</v>
      </c>
      <c r="B66" s="3" t="s">
        <v>144</v>
      </c>
      <c r="C66" s="4">
        <v>199888</v>
      </c>
      <c r="D66" s="29">
        <v>0</v>
      </c>
      <c r="E66" s="32">
        <v>199888</v>
      </c>
      <c r="F66" s="29">
        <v>237866.72</v>
      </c>
      <c r="G66" s="32">
        <v>0</v>
      </c>
      <c r="H66" s="29">
        <v>0</v>
      </c>
    </row>
    <row r="67" spans="1:8" x14ac:dyDescent="0.25">
      <c r="A67" s="3" t="s">
        <v>145</v>
      </c>
      <c r="B67" s="3" t="s">
        <v>146</v>
      </c>
      <c r="C67" s="4">
        <v>75000</v>
      </c>
      <c r="D67" s="29">
        <v>0</v>
      </c>
      <c r="E67" s="32">
        <v>75000</v>
      </c>
      <c r="F67" s="29">
        <v>89250</v>
      </c>
      <c r="G67" s="32">
        <v>0</v>
      </c>
      <c r="H67" s="29">
        <v>0</v>
      </c>
    </row>
    <row r="68" spans="1:8" x14ac:dyDescent="0.25">
      <c r="A68" s="3" t="s">
        <v>147</v>
      </c>
      <c r="B68" s="3" t="s">
        <v>148</v>
      </c>
      <c r="C68" s="4">
        <v>2044615.4</v>
      </c>
      <c r="D68" s="29">
        <v>0</v>
      </c>
      <c r="E68" s="32">
        <v>2044615.4</v>
      </c>
      <c r="F68" s="29">
        <v>2433092.33</v>
      </c>
      <c r="G68" s="32">
        <v>0</v>
      </c>
      <c r="H68" s="29">
        <v>0</v>
      </c>
    </row>
    <row r="69" spans="1:8" x14ac:dyDescent="0.25">
      <c r="A69" s="3" t="s">
        <v>149</v>
      </c>
      <c r="B69" s="3" t="s">
        <v>150</v>
      </c>
      <c r="C69" s="4">
        <v>249044</v>
      </c>
      <c r="D69" s="29">
        <v>0</v>
      </c>
      <c r="E69" s="32">
        <v>0</v>
      </c>
      <c r="F69" s="29">
        <v>0</v>
      </c>
      <c r="G69" s="32">
        <v>0</v>
      </c>
      <c r="H69" s="29">
        <v>0</v>
      </c>
    </row>
    <row r="70" spans="1:8" x14ac:dyDescent="0.25">
      <c r="A70" s="3" t="s">
        <v>151</v>
      </c>
      <c r="B70" s="3" t="s">
        <v>152</v>
      </c>
      <c r="C70" s="4">
        <v>503590</v>
      </c>
      <c r="D70" s="29">
        <v>0</v>
      </c>
      <c r="E70" s="32">
        <v>503590</v>
      </c>
      <c r="F70" s="29">
        <v>599272.1</v>
      </c>
      <c r="G70" s="32">
        <v>0</v>
      </c>
      <c r="H70" s="29">
        <v>0</v>
      </c>
    </row>
    <row r="71" spans="1:8" x14ac:dyDescent="0.25">
      <c r="A71" s="3" t="s">
        <v>153</v>
      </c>
      <c r="B71" s="3" t="s">
        <v>154</v>
      </c>
      <c r="C71" s="4">
        <v>264866</v>
      </c>
      <c r="D71" s="29">
        <v>0</v>
      </c>
      <c r="E71" s="32">
        <v>264866</v>
      </c>
      <c r="F71" s="29">
        <v>315190.53999999998</v>
      </c>
      <c r="G71" s="32">
        <v>0</v>
      </c>
      <c r="H71" s="29">
        <v>0</v>
      </c>
    </row>
    <row r="72" spans="1:8" x14ac:dyDescent="0.25">
      <c r="A72" s="3" t="s">
        <v>155</v>
      </c>
      <c r="B72" s="3" t="s">
        <v>156</v>
      </c>
      <c r="C72" s="4">
        <v>609703</v>
      </c>
      <c r="D72" s="29">
        <v>0</v>
      </c>
      <c r="E72" s="32">
        <v>609703</v>
      </c>
      <c r="F72" s="29">
        <v>725546.57</v>
      </c>
      <c r="G72" s="32">
        <v>0</v>
      </c>
      <c r="H72" s="29">
        <v>0</v>
      </c>
    </row>
    <row r="73" spans="1:8" x14ac:dyDescent="0.25">
      <c r="A73" s="3" t="s">
        <v>157</v>
      </c>
      <c r="B73" s="3" t="s">
        <v>158</v>
      </c>
      <c r="C73" s="4">
        <v>131294</v>
      </c>
      <c r="D73" s="29">
        <v>0</v>
      </c>
      <c r="E73" s="32">
        <v>131294</v>
      </c>
      <c r="F73" s="29">
        <v>156239.85999999999</v>
      </c>
      <c r="G73" s="32">
        <v>0</v>
      </c>
      <c r="H73" s="29">
        <v>0</v>
      </c>
    </row>
    <row r="74" spans="1:8" x14ac:dyDescent="0.25">
      <c r="A74" s="3" t="s">
        <v>159</v>
      </c>
      <c r="B74" s="3" t="s">
        <v>160</v>
      </c>
      <c r="C74" s="4">
        <v>2347427</v>
      </c>
      <c r="D74" s="29">
        <v>0</v>
      </c>
      <c r="E74" s="32">
        <v>2347427</v>
      </c>
      <c r="F74" s="29">
        <v>2793438.13</v>
      </c>
      <c r="G74" s="32">
        <v>0</v>
      </c>
      <c r="H74" s="29">
        <v>0</v>
      </c>
    </row>
    <row r="75" spans="1:8" x14ac:dyDescent="0.25">
      <c r="A75" s="3" t="s">
        <v>161</v>
      </c>
      <c r="B75" s="3" t="s">
        <v>162</v>
      </c>
      <c r="C75" s="4">
        <v>72930</v>
      </c>
      <c r="D75" s="29">
        <v>0</v>
      </c>
      <c r="E75" s="32">
        <v>72930</v>
      </c>
      <c r="F75" s="29">
        <v>86786.7</v>
      </c>
      <c r="G75" s="32">
        <v>0</v>
      </c>
      <c r="H75" s="29">
        <v>0</v>
      </c>
    </row>
    <row r="76" spans="1:8" x14ac:dyDescent="0.25">
      <c r="A76" s="3" t="s">
        <v>163</v>
      </c>
      <c r="B76" s="3" t="s">
        <v>164</v>
      </c>
      <c r="C76" s="4">
        <v>198050</v>
      </c>
      <c r="D76" s="29">
        <v>0</v>
      </c>
      <c r="E76" s="32">
        <v>198050</v>
      </c>
      <c r="F76" s="29">
        <v>235679.5</v>
      </c>
      <c r="G76" s="32">
        <v>0</v>
      </c>
      <c r="H76" s="29">
        <v>0</v>
      </c>
    </row>
    <row r="77" spans="1:8" x14ac:dyDescent="0.25">
      <c r="A77" s="3" t="s">
        <v>165</v>
      </c>
      <c r="B77" s="3" t="s">
        <v>166</v>
      </c>
      <c r="C77" s="4">
        <v>7440</v>
      </c>
      <c r="D77" s="29">
        <v>0</v>
      </c>
      <c r="E77" s="32">
        <v>7440</v>
      </c>
      <c r="F77" s="29">
        <v>8853.6</v>
      </c>
      <c r="G77" s="32">
        <v>0</v>
      </c>
      <c r="H77" s="29">
        <v>0</v>
      </c>
    </row>
    <row r="78" spans="1:8" x14ac:dyDescent="0.25">
      <c r="A78" s="3" t="s">
        <v>167</v>
      </c>
      <c r="B78" s="3" t="s">
        <v>168</v>
      </c>
      <c r="C78" s="4">
        <v>223750928</v>
      </c>
      <c r="D78" s="29">
        <v>16472</v>
      </c>
      <c r="E78" s="32">
        <v>137002220</v>
      </c>
      <c r="F78" s="29">
        <v>163032641.80000001</v>
      </c>
      <c r="G78" s="32">
        <v>3409486</v>
      </c>
      <c r="H78" s="29">
        <v>3659423.4</v>
      </c>
    </row>
    <row r="79" spans="1:8" x14ac:dyDescent="0.25">
      <c r="A79" s="3" t="s">
        <v>169</v>
      </c>
      <c r="B79" s="3" t="s">
        <v>170</v>
      </c>
      <c r="C79" s="4">
        <v>0</v>
      </c>
      <c r="D79" s="29">
        <v>0</v>
      </c>
      <c r="E79" s="32">
        <v>0</v>
      </c>
      <c r="F79" s="29">
        <v>0</v>
      </c>
      <c r="G79" s="32">
        <v>120219</v>
      </c>
      <c r="H79" s="29">
        <v>120219</v>
      </c>
    </row>
    <row r="80" spans="1:8" x14ac:dyDescent="0.25">
      <c r="A80" s="3" t="s">
        <v>171</v>
      </c>
      <c r="B80" s="3" t="s">
        <v>172</v>
      </c>
      <c r="C80" s="4">
        <v>172422567</v>
      </c>
      <c r="D80" s="29">
        <v>625850</v>
      </c>
      <c r="E80" s="32">
        <v>141928042</v>
      </c>
      <c r="F80" s="29">
        <v>168817441.44999999</v>
      </c>
      <c r="G80" s="32">
        <v>3532454</v>
      </c>
      <c r="H80" s="29">
        <v>3541574</v>
      </c>
    </row>
    <row r="81" spans="1:8" x14ac:dyDescent="0.25">
      <c r="A81" s="3" t="s">
        <v>173</v>
      </c>
      <c r="B81" s="3" t="s">
        <v>174</v>
      </c>
      <c r="C81" s="4">
        <v>1277911</v>
      </c>
      <c r="D81" s="29">
        <v>200980</v>
      </c>
      <c r="E81" s="32">
        <v>1076931</v>
      </c>
      <c r="F81" s="29">
        <v>1281547.8899999999</v>
      </c>
      <c r="G81" s="32">
        <v>0</v>
      </c>
      <c r="H81" s="29">
        <v>0</v>
      </c>
    </row>
    <row r="82" spans="1:8" x14ac:dyDescent="0.25">
      <c r="A82" s="3" t="s">
        <v>175</v>
      </c>
      <c r="B82" s="3" t="s">
        <v>176</v>
      </c>
      <c r="C82" s="4">
        <v>6470000</v>
      </c>
      <c r="D82" s="29">
        <v>0</v>
      </c>
      <c r="E82" s="32">
        <v>449930000</v>
      </c>
      <c r="F82" s="29">
        <v>535416700</v>
      </c>
      <c r="G82" s="32">
        <v>7295102</v>
      </c>
      <c r="H82" s="29">
        <v>7295102</v>
      </c>
    </row>
    <row r="83" spans="1:8" x14ac:dyDescent="0.25">
      <c r="A83" s="3" t="s">
        <v>177</v>
      </c>
      <c r="B83" s="3" t="s">
        <v>178</v>
      </c>
      <c r="C83" s="4">
        <v>1974000</v>
      </c>
      <c r="D83" s="29">
        <v>0</v>
      </c>
      <c r="E83" s="32">
        <v>1974000</v>
      </c>
      <c r="F83" s="29">
        <v>2349060</v>
      </c>
      <c r="G83" s="32">
        <v>1974000</v>
      </c>
      <c r="H83" s="29">
        <v>2349060</v>
      </c>
    </row>
    <row r="84" spans="1:8" x14ac:dyDescent="0.25">
      <c r="A84" s="3" t="s">
        <v>179</v>
      </c>
      <c r="B84" s="3" t="s">
        <v>180</v>
      </c>
      <c r="C84" s="4">
        <v>2582305</v>
      </c>
      <c r="D84" s="29">
        <v>0</v>
      </c>
      <c r="E84" s="32">
        <v>2582305</v>
      </c>
      <c r="F84" s="29">
        <v>3072942.95</v>
      </c>
      <c r="G84" s="32">
        <v>681001</v>
      </c>
      <c r="H84" s="29">
        <v>810391.19</v>
      </c>
    </row>
    <row r="85" spans="1:8" x14ac:dyDescent="0.25">
      <c r="A85" s="3" t="s">
        <v>181</v>
      </c>
      <c r="B85" s="3" t="s">
        <v>182</v>
      </c>
      <c r="C85" s="4">
        <v>3118559</v>
      </c>
      <c r="D85" s="29">
        <v>0</v>
      </c>
      <c r="E85" s="32">
        <v>3118559</v>
      </c>
      <c r="F85" s="29">
        <v>3711085.21</v>
      </c>
      <c r="G85" s="32">
        <v>0</v>
      </c>
      <c r="H85" s="29">
        <v>0</v>
      </c>
    </row>
    <row r="86" spans="1:8" x14ac:dyDescent="0.25">
      <c r="A86" s="3" t="s">
        <v>183</v>
      </c>
      <c r="B86" s="3" t="s">
        <v>184</v>
      </c>
      <c r="C86" s="4">
        <v>268540.34000000003</v>
      </c>
      <c r="D86" s="29">
        <v>0</v>
      </c>
      <c r="E86" s="32">
        <v>268540</v>
      </c>
      <c r="F86" s="29">
        <v>319562.59999999998</v>
      </c>
      <c r="G86" s="32">
        <v>0</v>
      </c>
      <c r="H86" s="29">
        <v>0</v>
      </c>
    </row>
    <row r="87" spans="1:8" x14ac:dyDescent="0.25">
      <c r="A87" s="3" t="s">
        <v>185</v>
      </c>
      <c r="B87" s="3" t="s">
        <v>186</v>
      </c>
      <c r="C87" s="4">
        <v>45469268.039999999</v>
      </c>
      <c r="D87" s="29">
        <v>2403466</v>
      </c>
      <c r="E87" s="32">
        <v>45026252</v>
      </c>
      <c r="F87" s="29">
        <v>53581239.880000003</v>
      </c>
      <c r="G87" s="32">
        <v>6416525</v>
      </c>
      <c r="H87" s="29">
        <v>6567430.2199999997</v>
      </c>
    </row>
    <row r="88" spans="1:8" x14ac:dyDescent="0.25">
      <c r="A88" s="3" t="s">
        <v>187</v>
      </c>
      <c r="B88" s="3" t="s">
        <v>188</v>
      </c>
      <c r="C88" s="4">
        <v>4896387</v>
      </c>
      <c r="D88" s="29">
        <v>0</v>
      </c>
      <c r="E88" s="32">
        <v>4896387</v>
      </c>
      <c r="F88" s="29">
        <v>5826700.5300000003</v>
      </c>
      <c r="G88" s="32">
        <v>0</v>
      </c>
      <c r="H88" s="29">
        <v>0</v>
      </c>
    </row>
    <row r="89" spans="1:8" x14ac:dyDescent="0.25">
      <c r="A89" s="3" t="s">
        <v>189</v>
      </c>
      <c r="B89" s="3" t="s">
        <v>190</v>
      </c>
      <c r="C89" s="4">
        <v>1141418</v>
      </c>
      <c r="D89" s="29">
        <v>0</v>
      </c>
      <c r="E89" s="32">
        <v>1141418</v>
      </c>
      <c r="F89" s="29">
        <v>1358287.42</v>
      </c>
      <c r="G89" s="32">
        <v>0</v>
      </c>
      <c r="H89" s="29">
        <v>0</v>
      </c>
    </row>
    <row r="90" spans="1:8" x14ac:dyDescent="0.25">
      <c r="A90" s="3" t="s">
        <v>191</v>
      </c>
      <c r="B90" s="3" t="s">
        <v>192</v>
      </c>
      <c r="C90" s="4">
        <v>6829243</v>
      </c>
      <c r="D90" s="29">
        <v>0</v>
      </c>
      <c r="E90" s="32">
        <v>6829243</v>
      </c>
      <c r="F90" s="29">
        <v>8126799.1699999999</v>
      </c>
      <c r="G90" s="32">
        <v>2798090</v>
      </c>
      <c r="H90" s="29">
        <v>2798090</v>
      </c>
    </row>
    <row r="91" spans="1:8" x14ac:dyDescent="0.25">
      <c r="A91" s="3" t="s">
        <v>193</v>
      </c>
      <c r="B91" s="3" t="s">
        <v>194</v>
      </c>
      <c r="C91" s="4">
        <v>5202192</v>
      </c>
      <c r="D91" s="29">
        <v>646980</v>
      </c>
      <c r="E91" s="32">
        <v>6746582</v>
      </c>
      <c r="F91" s="29">
        <v>8016044.5800000001</v>
      </c>
      <c r="G91" s="32">
        <v>880610</v>
      </c>
      <c r="H91" s="29">
        <v>880610</v>
      </c>
    </row>
    <row r="92" spans="1:8" x14ac:dyDescent="0.25">
      <c r="A92" s="3" t="s">
        <v>195</v>
      </c>
      <c r="B92" s="3" t="s">
        <v>196</v>
      </c>
      <c r="C92" s="4">
        <v>84987173</v>
      </c>
      <c r="D92" s="29">
        <v>445325</v>
      </c>
      <c r="E92" s="32">
        <v>86326968</v>
      </c>
      <c r="F92" s="29">
        <v>102729091.92</v>
      </c>
      <c r="G92" s="32">
        <v>2325642</v>
      </c>
      <c r="H92" s="29">
        <v>2460649.16</v>
      </c>
    </row>
    <row r="93" spans="1:8" x14ac:dyDescent="0.25">
      <c r="A93" s="3" t="s">
        <v>197</v>
      </c>
      <c r="B93" s="3" t="s">
        <v>198</v>
      </c>
      <c r="C93" s="4">
        <v>182048172.05000001</v>
      </c>
      <c r="D93" s="29">
        <v>1286020</v>
      </c>
      <c r="E93" s="32">
        <v>156269255</v>
      </c>
      <c r="F93" s="29">
        <v>185907237.00999999</v>
      </c>
      <c r="G93" s="32">
        <v>16712844</v>
      </c>
      <c r="H93" s="29">
        <v>17308890.719999999</v>
      </c>
    </row>
    <row r="94" spans="1:8" x14ac:dyDescent="0.25">
      <c r="A94" s="3" t="s">
        <v>199</v>
      </c>
      <c r="B94" s="3" t="s">
        <v>200</v>
      </c>
      <c r="C94" s="4">
        <v>3701092</v>
      </c>
      <c r="D94" s="29">
        <v>867450</v>
      </c>
      <c r="E94" s="32">
        <v>1240792</v>
      </c>
      <c r="F94" s="29">
        <v>1476542.48</v>
      </c>
      <c r="G94" s="32">
        <v>29172</v>
      </c>
      <c r="H94" s="29">
        <v>34714.68</v>
      </c>
    </row>
    <row r="95" spans="1:8" x14ac:dyDescent="0.25">
      <c r="A95" s="3" t="s">
        <v>201</v>
      </c>
      <c r="B95" s="3" t="s">
        <v>202</v>
      </c>
      <c r="C95" s="4">
        <v>246651717.94</v>
      </c>
      <c r="D95" s="29">
        <v>4127483</v>
      </c>
      <c r="E95" s="32">
        <v>400195434.55000001</v>
      </c>
      <c r="F95" s="29">
        <v>476198182.81</v>
      </c>
      <c r="G95" s="32">
        <v>43241437</v>
      </c>
      <c r="H95" s="29">
        <v>47585621.509999998</v>
      </c>
    </row>
    <row r="96" spans="1:8" x14ac:dyDescent="0.25">
      <c r="A96" s="3" t="s">
        <v>203</v>
      </c>
      <c r="B96" s="3" t="s">
        <v>204</v>
      </c>
      <c r="C96" s="4">
        <v>25345747</v>
      </c>
      <c r="D96" s="29">
        <v>0</v>
      </c>
      <c r="E96" s="32">
        <v>25345747</v>
      </c>
      <c r="F96" s="29">
        <v>30161438.93</v>
      </c>
      <c r="G96" s="32">
        <v>0</v>
      </c>
      <c r="H96" s="29">
        <v>0</v>
      </c>
    </row>
    <row r="97" spans="1:8" x14ac:dyDescent="0.25">
      <c r="A97" s="3" t="s">
        <v>205</v>
      </c>
      <c r="B97" s="3" t="s">
        <v>206</v>
      </c>
      <c r="C97" s="4">
        <v>10621200</v>
      </c>
      <c r="D97" s="29">
        <v>0</v>
      </c>
      <c r="E97" s="32">
        <v>10621200</v>
      </c>
      <c r="F97" s="29">
        <v>12639228</v>
      </c>
      <c r="G97" s="32">
        <v>0</v>
      </c>
      <c r="H97" s="29">
        <v>0</v>
      </c>
    </row>
    <row r="98" spans="1:8" x14ac:dyDescent="0.25">
      <c r="A98" s="3" t="s">
        <v>207</v>
      </c>
      <c r="B98" s="3" t="s">
        <v>208</v>
      </c>
      <c r="C98" s="4">
        <v>54117</v>
      </c>
      <c r="D98" s="29">
        <v>0</v>
      </c>
      <c r="E98" s="32">
        <v>54117</v>
      </c>
      <c r="F98" s="29">
        <v>64399.23</v>
      </c>
      <c r="G98" s="32">
        <v>0</v>
      </c>
      <c r="H98" s="29">
        <v>0</v>
      </c>
    </row>
    <row r="99" spans="1:8" x14ac:dyDescent="0.25">
      <c r="A99" s="3" t="s">
        <v>209</v>
      </c>
      <c r="B99" s="3" t="s">
        <v>210</v>
      </c>
      <c r="C99" s="4">
        <v>43980</v>
      </c>
      <c r="D99" s="29">
        <v>0</v>
      </c>
      <c r="E99" s="32">
        <v>43980</v>
      </c>
      <c r="F99" s="29">
        <v>52336.2</v>
      </c>
      <c r="G99" s="32">
        <v>0</v>
      </c>
      <c r="H99" s="29">
        <v>0</v>
      </c>
    </row>
    <row r="100" spans="1:8" x14ac:dyDescent="0.25">
      <c r="A100" s="3" t="s">
        <v>211</v>
      </c>
      <c r="B100" s="3" t="s">
        <v>212</v>
      </c>
      <c r="C100" s="4">
        <v>1336143</v>
      </c>
      <c r="D100" s="29">
        <v>93248</v>
      </c>
      <c r="E100" s="32">
        <v>1403715</v>
      </c>
      <c r="F100" s="29">
        <v>1670420.85</v>
      </c>
      <c r="G100" s="32">
        <v>0</v>
      </c>
      <c r="H100" s="29">
        <v>0</v>
      </c>
    </row>
    <row r="101" spans="1:8" x14ac:dyDescent="0.25">
      <c r="A101" s="3" t="s">
        <v>213</v>
      </c>
      <c r="B101" s="3" t="s">
        <v>214</v>
      </c>
      <c r="C101" s="4">
        <v>60427</v>
      </c>
      <c r="D101" s="29">
        <v>0</v>
      </c>
      <c r="E101" s="32">
        <v>60427</v>
      </c>
      <c r="F101" s="29">
        <v>71908.13</v>
      </c>
      <c r="G101" s="32">
        <v>0</v>
      </c>
      <c r="H101" s="29">
        <v>0</v>
      </c>
    </row>
    <row r="102" spans="1:8" x14ac:dyDescent="0.25">
      <c r="A102" s="3" t="s">
        <v>215</v>
      </c>
      <c r="B102" s="3" t="s">
        <v>216</v>
      </c>
      <c r="C102" s="4">
        <v>2803970</v>
      </c>
      <c r="D102" s="29">
        <v>0</v>
      </c>
      <c r="E102" s="32">
        <v>21235</v>
      </c>
      <c r="F102" s="29">
        <v>25269.65</v>
      </c>
      <c r="G102" s="32">
        <v>0</v>
      </c>
      <c r="H102" s="29">
        <v>0</v>
      </c>
    </row>
    <row r="103" spans="1:8" x14ac:dyDescent="0.25">
      <c r="A103" s="3" t="s">
        <v>217</v>
      </c>
      <c r="B103" s="3" t="s">
        <v>218</v>
      </c>
      <c r="C103" s="4">
        <v>28771</v>
      </c>
      <c r="D103" s="29">
        <v>0</v>
      </c>
      <c r="E103" s="32">
        <v>28771</v>
      </c>
      <c r="F103" s="29">
        <v>34237.49</v>
      </c>
      <c r="G103" s="32">
        <v>0</v>
      </c>
      <c r="H103" s="29">
        <v>0</v>
      </c>
    </row>
    <row r="104" spans="1:8" x14ac:dyDescent="0.25">
      <c r="A104" s="3" t="s">
        <v>219</v>
      </c>
      <c r="B104" s="3" t="s">
        <v>220</v>
      </c>
      <c r="C104" s="4">
        <v>45709716</v>
      </c>
      <c r="D104" s="29">
        <v>9885960</v>
      </c>
      <c r="E104" s="32">
        <v>30407556</v>
      </c>
      <c r="F104" s="29">
        <v>36184991.640000001</v>
      </c>
      <c r="G104" s="32">
        <v>2201557</v>
      </c>
      <c r="H104" s="29">
        <v>2473957.7200000002</v>
      </c>
    </row>
    <row r="105" spans="1:8" x14ac:dyDescent="0.25">
      <c r="A105" s="3" t="s">
        <v>221</v>
      </c>
      <c r="B105" s="3" t="s">
        <v>222</v>
      </c>
      <c r="C105" s="4">
        <v>722675</v>
      </c>
      <c r="D105" s="29">
        <v>0</v>
      </c>
      <c r="E105" s="32">
        <v>722675</v>
      </c>
      <c r="F105" s="29">
        <v>859983.25</v>
      </c>
      <c r="G105" s="32">
        <v>0</v>
      </c>
      <c r="H105" s="29">
        <v>0</v>
      </c>
    </row>
    <row r="106" spans="1:8" x14ac:dyDescent="0.25">
      <c r="A106" s="3" t="s">
        <v>223</v>
      </c>
      <c r="B106" s="3" t="s">
        <v>224</v>
      </c>
      <c r="C106" s="4">
        <v>20130387</v>
      </c>
      <c r="D106" s="29">
        <v>0</v>
      </c>
      <c r="E106" s="32">
        <v>15774387</v>
      </c>
      <c r="F106" s="29">
        <v>18771520.530000001</v>
      </c>
      <c r="G106" s="32">
        <v>358182</v>
      </c>
      <c r="H106" s="29">
        <v>358182</v>
      </c>
    </row>
    <row r="107" spans="1:8" x14ac:dyDescent="0.25">
      <c r="A107" s="3" t="s">
        <v>225</v>
      </c>
      <c r="B107" s="3" t="s">
        <v>226</v>
      </c>
      <c r="C107" s="4">
        <v>2382280</v>
      </c>
      <c r="D107" s="29">
        <v>872600</v>
      </c>
      <c r="E107" s="32">
        <v>1509680</v>
      </c>
      <c r="F107" s="29">
        <v>1796519.2</v>
      </c>
      <c r="G107" s="32">
        <v>0</v>
      </c>
      <c r="H107" s="29">
        <v>0</v>
      </c>
    </row>
    <row r="108" spans="1:8" x14ac:dyDescent="0.25">
      <c r="A108" s="3" t="s">
        <v>227</v>
      </c>
      <c r="B108" s="3" t="s">
        <v>228</v>
      </c>
      <c r="C108" s="4">
        <v>152936</v>
      </c>
      <c r="D108" s="29">
        <v>0</v>
      </c>
      <c r="E108" s="32">
        <v>152936</v>
      </c>
      <c r="F108" s="29">
        <v>181993.84</v>
      </c>
      <c r="G108" s="32">
        <v>0</v>
      </c>
      <c r="H108" s="29">
        <v>0</v>
      </c>
    </row>
    <row r="109" spans="1:8" x14ac:dyDescent="0.25">
      <c r="A109" s="3" t="s">
        <v>229</v>
      </c>
      <c r="B109" s="3" t="s">
        <v>230</v>
      </c>
      <c r="C109" s="4">
        <v>0</v>
      </c>
      <c r="D109" s="29">
        <v>0</v>
      </c>
      <c r="E109" s="32">
        <v>716600</v>
      </c>
      <c r="F109" s="29">
        <v>852754</v>
      </c>
      <c r="G109" s="32">
        <v>0</v>
      </c>
      <c r="H109" s="29">
        <v>0</v>
      </c>
    </row>
    <row r="110" spans="1:8" x14ac:dyDescent="0.25">
      <c r="A110" s="3" t="s">
        <v>231</v>
      </c>
      <c r="B110" s="3" t="s">
        <v>232</v>
      </c>
      <c r="C110" s="4">
        <v>1563534</v>
      </c>
      <c r="D110" s="29">
        <v>0</v>
      </c>
      <c r="E110" s="32">
        <v>1563534</v>
      </c>
      <c r="F110" s="29">
        <v>1860605.46</v>
      </c>
      <c r="G110" s="32">
        <v>0</v>
      </c>
      <c r="H110" s="29">
        <v>0</v>
      </c>
    </row>
    <row r="111" spans="1:8" x14ac:dyDescent="0.25">
      <c r="A111" s="3" t="s">
        <v>233</v>
      </c>
      <c r="B111" s="3" t="s">
        <v>234</v>
      </c>
      <c r="C111" s="4">
        <v>4698521</v>
      </c>
      <c r="D111" s="29">
        <v>0</v>
      </c>
      <c r="E111" s="32">
        <v>3368921</v>
      </c>
      <c r="F111" s="29">
        <v>4009015.99</v>
      </c>
      <c r="G111" s="32">
        <v>0</v>
      </c>
      <c r="H111" s="29">
        <v>0</v>
      </c>
    </row>
    <row r="112" spans="1:8" x14ac:dyDescent="0.25">
      <c r="A112" s="3" t="s">
        <v>235</v>
      </c>
      <c r="B112" s="3" t="s">
        <v>236</v>
      </c>
      <c r="C112" s="4">
        <v>704700</v>
      </c>
      <c r="D112" s="29">
        <v>0</v>
      </c>
      <c r="E112" s="32">
        <v>7773334</v>
      </c>
      <c r="F112" s="29">
        <v>9250267.4600000009</v>
      </c>
      <c r="G112" s="32">
        <v>0</v>
      </c>
      <c r="H112" s="29">
        <v>0</v>
      </c>
    </row>
    <row r="113" spans="1:8" x14ac:dyDescent="0.25">
      <c r="A113" s="3" t="s">
        <v>237</v>
      </c>
      <c r="B113" s="3" t="s">
        <v>238</v>
      </c>
      <c r="C113" s="4">
        <v>68340000</v>
      </c>
      <c r="D113" s="29">
        <v>0</v>
      </c>
      <c r="E113" s="32">
        <v>0</v>
      </c>
      <c r="F113" s="29">
        <v>0</v>
      </c>
      <c r="G113" s="32">
        <v>0</v>
      </c>
      <c r="H113" s="29">
        <v>0</v>
      </c>
    </row>
    <row r="114" spans="1:8" x14ac:dyDescent="0.25">
      <c r="A114" s="3" t="s">
        <v>239</v>
      </c>
      <c r="B114" s="3" t="s">
        <v>240</v>
      </c>
      <c r="C114" s="4">
        <v>385729592.19999999</v>
      </c>
      <c r="D114" s="29">
        <v>22847250</v>
      </c>
      <c r="E114" s="32">
        <v>441922826</v>
      </c>
      <c r="F114" s="29">
        <v>525888162.94</v>
      </c>
      <c r="G114" s="32">
        <v>7949260</v>
      </c>
      <c r="H114" s="29">
        <v>7954645.3600000003</v>
      </c>
    </row>
    <row r="115" spans="1:8" x14ac:dyDescent="0.25">
      <c r="A115" s="3" t="s">
        <v>241</v>
      </c>
      <c r="B115" s="3" t="s">
        <v>242</v>
      </c>
      <c r="C115" s="4">
        <v>700</v>
      </c>
      <c r="D115" s="29">
        <v>0</v>
      </c>
      <c r="E115" s="32">
        <v>0</v>
      </c>
      <c r="F115" s="29">
        <v>0</v>
      </c>
      <c r="G115" s="32">
        <v>0</v>
      </c>
      <c r="H115" s="29">
        <v>0</v>
      </c>
    </row>
    <row r="116" spans="1:8" x14ac:dyDescent="0.25">
      <c r="A116" s="3" t="s">
        <v>243</v>
      </c>
      <c r="B116" s="3" t="s">
        <v>244</v>
      </c>
      <c r="C116" s="4">
        <v>8262152</v>
      </c>
      <c r="D116" s="29">
        <v>0</v>
      </c>
      <c r="E116" s="32">
        <v>8262152</v>
      </c>
      <c r="F116" s="29">
        <v>9831960.8800000008</v>
      </c>
      <c r="G116" s="32">
        <v>0</v>
      </c>
      <c r="H116" s="29">
        <v>0</v>
      </c>
    </row>
    <row r="117" spans="1:8" x14ac:dyDescent="0.25">
      <c r="A117" s="3" t="s">
        <v>245</v>
      </c>
      <c r="B117" s="3" t="s">
        <v>246</v>
      </c>
      <c r="C117" s="4">
        <v>2745760</v>
      </c>
      <c r="D117" s="29">
        <v>0</v>
      </c>
      <c r="E117" s="32">
        <v>2745760</v>
      </c>
      <c r="F117" s="29">
        <v>3231829.4</v>
      </c>
      <c r="G117" s="32">
        <v>0</v>
      </c>
      <c r="H117" s="29">
        <v>0</v>
      </c>
    </row>
    <row r="118" spans="1:8" x14ac:dyDescent="0.25">
      <c r="A118" s="3" t="s">
        <v>247</v>
      </c>
      <c r="B118" s="3" t="s">
        <v>248</v>
      </c>
      <c r="C118" s="4">
        <v>10498592</v>
      </c>
      <c r="D118" s="29">
        <v>0</v>
      </c>
      <c r="E118" s="32">
        <v>301500</v>
      </c>
      <c r="F118" s="29">
        <v>358785</v>
      </c>
      <c r="G118" s="32">
        <v>0</v>
      </c>
      <c r="H118" s="29">
        <v>0</v>
      </c>
    </row>
    <row r="119" spans="1:8" x14ac:dyDescent="0.25">
      <c r="A119" s="3" t="s">
        <v>249</v>
      </c>
      <c r="B119" s="3" t="s">
        <v>250</v>
      </c>
      <c r="C119" s="4">
        <v>10200000</v>
      </c>
      <c r="D119" s="29">
        <v>0</v>
      </c>
      <c r="E119" s="32">
        <v>10200000</v>
      </c>
      <c r="F119" s="29">
        <v>12138000</v>
      </c>
      <c r="G119" s="32">
        <v>6800000</v>
      </c>
      <c r="H119" s="29">
        <v>8092000</v>
      </c>
    </row>
    <row r="120" spans="1:8" x14ac:dyDescent="0.25">
      <c r="A120" s="3" t="s">
        <v>251</v>
      </c>
      <c r="B120" s="3" t="s">
        <v>252</v>
      </c>
      <c r="C120" s="4">
        <v>6179920</v>
      </c>
      <c r="D120" s="29">
        <v>0</v>
      </c>
      <c r="E120" s="32">
        <v>13393120</v>
      </c>
      <c r="F120" s="29">
        <v>15937812.800000001</v>
      </c>
      <c r="G120" s="32">
        <v>7213200</v>
      </c>
      <c r="H120" s="29">
        <v>8583708</v>
      </c>
    </row>
    <row r="121" spans="1:8" x14ac:dyDescent="0.25">
      <c r="A121" s="3" t="s">
        <v>253</v>
      </c>
      <c r="B121" s="3" t="s">
        <v>254</v>
      </c>
      <c r="C121" s="4">
        <v>86002</v>
      </c>
      <c r="D121" s="29">
        <v>0</v>
      </c>
      <c r="E121" s="32">
        <v>86002</v>
      </c>
      <c r="F121" s="29">
        <v>102342.38</v>
      </c>
      <c r="G121" s="32">
        <v>54370</v>
      </c>
      <c r="H121" s="29">
        <v>64700.3</v>
      </c>
    </row>
    <row r="122" spans="1:8" x14ac:dyDescent="0.25">
      <c r="A122" s="3" t="s">
        <v>255</v>
      </c>
      <c r="B122" s="3" t="s">
        <v>256</v>
      </c>
      <c r="C122" s="4">
        <v>132677070.03</v>
      </c>
      <c r="D122" s="29">
        <v>1293810</v>
      </c>
      <c r="E122" s="32">
        <v>120069120</v>
      </c>
      <c r="F122" s="29">
        <v>142150087.80000001</v>
      </c>
      <c r="G122" s="32">
        <v>3549800</v>
      </c>
      <c r="H122" s="29">
        <v>3549800</v>
      </c>
    </row>
    <row r="123" spans="1:8" x14ac:dyDescent="0.25">
      <c r="A123" s="3" t="s">
        <v>257</v>
      </c>
      <c r="B123" s="3" t="s">
        <v>258</v>
      </c>
      <c r="C123" s="4">
        <v>15160040</v>
      </c>
      <c r="D123" s="29">
        <v>0</v>
      </c>
      <c r="E123" s="32">
        <v>7640000</v>
      </c>
      <c r="F123" s="29">
        <v>9091600</v>
      </c>
      <c r="G123" s="32">
        <v>0</v>
      </c>
      <c r="H123" s="29">
        <v>0</v>
      </c>
    </row>
    <row r="124" spans="1:8" x14ac:dyDescent="0.25">
      <c r="A124" s="3" t="s">
        <v>259</v>
      </c>
      <c r="B124" s="3" t="s">
        <v>260</v>
      </c>
      <c r="C124" s="4">
        <v>656088</v>
      </c>
      <c r="D124" s="29">
        <v>0</v>
      </c>
      <c r="E124" s="32">
        <v>2153463</v>
      </c>
      <c r="F124" s="29">
        <v>2562620.9700000002</v>
      </c>
      <c r="G124" s="32">
        <v>0</v>
      </c>
      <c r="H124" s="29">
        <v>0</v>
      </c>
    </row>
    <row r="125" spans="1:8" x14ac:dyDescent="0.25">
      <c r="A125" s="3" t="s">
        <v>261</v>
      </c>
      <c r="B125" s="3" t="s">
        <v>262</v>
      </c>
      <c r="C125" s="4">
        <v>2137000</v>
      </c>
      <c r="D125" s="29">
        <v>0</v>
      </c>
      <c r="E125" s="32">
        <v>2137000</v>
      </c>
      <c r="F125" s="29">
        <v>2543030</v>
      </c>
      <c r="G125" s="32">
        <v>0</v>
      </c>
      <c r="H125" s="29">
        <v>0</v>
      </c>
    </row>
    <row r="126" spans="1:8" x14ac:dyDescent="0.25">
      <c r="A126" s="3" t="s">
        <v>263</v>
      </c>
      <c r="B126" s="3" t="s">
        <v>264</v>
      </c>
      <c r="C126" s="4">
        <v>3144566</v>
      </c>
      <c r="D126" s="29">
        <v>0</v>
      </c>
      <c r="E126" s="32">
        <v>3144566</v>
      </c>
      <c r="F126" s="29">
        <v>3742033.54</v>
      </c>
      <c r="G126" s="32">
        <v>0</v>
      </c>
      <c r="H126" s="29">
        <v>0</v>
      </c>
    </row>
    <row r="127" spans="1:8" x14ac:dyDescent="0.25">
      <c r="A127" s="3" t="s">
        <v>265</v>
      </c>
      <c r="B127" s="3" t="s">
        <v>266</v>
      </c>
      <c r="C127" s="4">
        <v>185799</v>
      </c>
      <c r="D127" s="29">
        <v>0</v>
      </c>
      <c r="E127" s="32">
        <v>185799</v>
      </c>
      <c r="F127" s="29">
        <v>221100.81</v>
      </c>
      <c r="G127" s="32">
        <v>0</v>
      </c>
      <c r="H127" s="29">
        <v>0</v>
      </c>
    </row>
    <row r="128" spans="1:8" x14ac:dyDescent="0.25">
      <c r="A128" s="3" t="s">
        <v>267</v>
      </c>
      <c r="B128" s="3" t="s">
        <v>268</v>
      </c>
      <c r="C128" s="4">
        <v>198737302.15000001</v>
      </c>
      <c r="D128" s="29">
        <v>1270000</v>
      </c>
      <c r="E128" s="32">
        <v>150635849</v>
      </c>
      <c r="F128" s="29">
        <v>179234135.81</v>
      </c>
      <c r="G128" s="32">
        <v>46589385</v>
      </c>
      <c r="H128" s="29">
        <v>54462985</v>
      </c>
    </row>
    <row r="129" spans="1:8" x14ac:dyDescent="0.25">
      <c r="A129" s="3" t="s">
        <v>269</v>
      </c>
      <c r="B129" s="3" t="s">
        <v>270</v>
      </c>
      <c r="C129" s="4">
        <v>1379400</v>
      </c>
      <c r="D129" s="29">
        <v>0</v>
      </c>
      <c r="E129" s="32">
        <v>1379400</v>
      </c>
      <c r="F129" s="29">
        <v>1641486</v>
      </c>
      <c r="G129" s="32">
        <v>0</v>
      </c>
      <c r="H129" s="29">
        <v>0</v>
      </c>
    </row>
    <row r="130" spans="1:8" x14ac:dyDescent="0.25">
      <c r="A130" s="3" t="s">
        <v>271</v>
      </c>
      <c r="B130" s="3" t="s">
        <v>272</v>
      </c>
      <c r="C130" s="4">
        <v>0</v>
      </c>
      <c r="D130" s="29">
        <v>0</v>
      </c>
      <c r="E130" s="32">
        <v>2208576</v>
      </c>
      <c r="F130" s="29">
        <v>2628205.44</v>
      </c>
      <c r="G130" s="32">
        <v>0</v>
      </c>
      <c r="H130" s="29">
        <v>0</v>
      </c>
    </row>
    <row r="131" spans="1:8" x14ac:dyDescent="0.25">
      <c r="A131" s="3" t="s">
        <v>273</v>
      </c>
      <c r="B131" s="3" t="s">
        <v>274</v>
      </c>
      <c r="C131" s="4">
        <v>0</v>
      </c>
      <c r="D131" s="29">
        <v>0</v>
      </c>
      <c r="E131" s="32">
        <v>1329200</v>
      </c>
      <c r="F131" s="29">
        <v>1581748</v>
      </c>
      <c r="G131" s="32">
        <v>0</v>
      </c>
      <c r="H131" s="29">
        <v>0</v>
      </c>
    </row>
    <row r="132" spans="1:8" x14ac:dyDescent="0.25">
      <c r="A132" s="3" t="s">
        <v>275</v>
      </c>
      <c r="B132" s="3" t="s">
        <v>276</v>
      </c>
      <c r="C132" s="4">
        <v>37893432</v>
      </c>
      <c r="D132" s="29">
        <v>0</v>
      </c>
      <c r="E132" s="32">
        <v>26792036</v>
      </c>
      <c r="F132" s="29">
        <v>31882522.84</v>
      </c>
      <c r="G132" s="32">
        <v>266541</v>
      </c>
      <c r="H132" s="29">
        <v>266541</v>
      </c>
    </row>
    <row r="133" spans="1:8" x14ac:dyDescent="0.25">
      <c r="A133" s="3" t="s">
        <v>277</v>
      </c>
      <c r="B133" s="3" t="s">
        <v>278</v>
      </c>
      <c r="C133" s="4">
        <v>328053</v>
      </c>
      <c r="D133" s="29">
        <v>0</v>
      </c>
      <c r="E133" s="32">
        <v>328053</v>
      </c>
      <c r="F133" s="29">
        <v>390383.07</v>
      </c>
      <c r="G133" s="32">
        <v>0</v>
      </c>
      <c r="H133" s="29">
        <v>0</v>
      </c>
    </row>
    <row r="134" spans="1:8" x14ac:dyDescent="0.25">
      <c r="A134" s="3" t="s">
        <v>279</v>
      </c>
      <c r="B134" s="3" t="s">
        <v>280</v>
      </c>
      <c r="C134" s="4">
        <v>69696</v>
      </c>
      <c r="D134" s="29">
        <v>0</v>
      </c>
      <c r="E134" s="32">
        <v>2044696</v>
      </c>
      <c r="F134" s="29">
        <v>2433188.2400000002</v>
      </c>
      <c r="G134" s="32">
        <v>0</v>
      </c>
      <c r="H134" s="29">
        <v>0</v>
      </c>
    </row>
    <row r="135" spans="1:8" x14ac:dyDescent="0.25">
      <c r="A135" s="3" t="s">
        <v>281</v>
      </c>
      <c r="B135" s="3" t="s">
        <v>282</v>
      </c>
      <c r="C135" s="4">
        <v>1899365.44</v>
      </c>
      <c r="D135" s="29">
        <v>0</v>
      </c>
      <c r="E135" s="32">
        <v>1899362</v>
      </c>
      <c r="F135" s="29">
        <v>2260240.7799999998</v>
      </c>
      <c r="G135" s="32">
        <v>0</v>
      </c>
      <c r="H135" s="29">
        <v>0</v>
      </c>
    </row>
    <row r="136" spans="1:8" x14ac:dyDescent="0.25">
      <c r="A136" s="3" t="s">
        <v>283</v>
      </c>
      <c r="B136" s="3" t="s">
        <v>284</v>
      </c>
      <c r="C136" s="4">
        <v>8560946</v>
      </c>
      <c r="D136" s="29">
        <v>0</v>
      </c>
      <c r="E136" s="32">
        <v>20815386</v>
      </c>
      <c r="F136" s="29">
        <v>24770309.34</v>
      </c>
      <c r="G136" s="32">
        <v>309780</v>
      </c>
      <c r="H136" s="29">
        <v>309780</v>
      </c>
    </row>
    <row r="137" spans="1:8" x14ac:dyDescent="0.25">
      <c r="A137" s="3" t="s">
        <v>285</v>
      </c>
      <c r="B137" s="3" t="s">
        <v>286</v>
      </c>
      <c r="C137" s="4">
        <v>39149900</v>
      </c>
      <c r="D137" s="29">
        <v>0</v>
      </c>
      <c r="E137" s="32">
        <v>39149900</v>
      </c>
      <c r="F137" s="29">
        <v>46588381</v>
      </c>
      <c r="G137" s="32">
        <v>0</v>
      </c>
      <c r="H137" s="29">
        <v>0</v>
      </c>
    </row>
    <row r="138" spans="1:8" x14ac:dyDescent="0.25">
      <c r="A138" s="3" t="s">
        <v>287</v>
      </c>
      <c r="B138" s="3" t="s">
        <v>288</v>
      </c>
      <c r="C138" s="4">
        <v>870218</v>
      </c>
      <c r="D138" s="29">
        <v>0</v>
      </c>
      <c r="E138" s="32">
        <v>1231018</v>
      </c>
      <c r="F138" s="29">
        <v>1464911.42</v>
      </c>
      <c r="G138" s="32">
        <v>0</v>
      </c>
      <c r="H138" s="29">
        <v>0</v>
      </c>
    </row>
    <row r="139" spans="1:8" x14ac:dyDescent="0.25">
      <c r="A139" s="3" t="s">
        <v>289</v>
      </c>
      <c r="B139" s="3" t="s">
        <v>290</v>
      </c>
      <c r="C139" s="4">
        <v>6390000</v>
      </c>
      <c r="D139" s="29">
        <v>0</v>
      </c>
      <c r="E139" s="32">
        <v>0</v>
      </c>
      <c r="F139" s="29">
        <v>0</v>
      </c>
      <c r="G139" s="32">
        <v>0</v>
      </c>
      <c r="H139" s="29">
        <v>0</v>
      </c>
    </row>
    <row r="140" spans="1:8" x14ac:dyDescent="0.25">
      <c r="A140" s="3" t="s">
        <v>291</v>
      </c>
      <c r="B140" s="3" t="s">
        <v>292</v>
      </c>
      <c r="C140" s="4">
        <v>150596627.02000001</v>
      </c>
      <c r="D140" s="29">
        <v>0</v>
      </c>
      <c r="E140" s="32">
        <v>155971577</v>
      </c>
      <c r="F140" s="29">
        <v>185599982.63</v>
      </c>
      <c r="G140" s="32">
        <v>12130638</v>
      </c>
      <c r="H140" s="29">
        <v>12273071.5</v>
      </c>
    </row>
    <row r="141" spans="1:8" x14ac:dyDescent="0.25">
      <c r="A141" s="3" t="s">
        <v>293</v>
      </c>
      <c r="B141" s="3" t="s">
        <v>294</v>
      </c>
      <c r="C141" s="4">
        <v>60966994</v>
      </c>
      <c r="D141" s="29">
        <v>0</v>
      </c>
      <c r="E141" s="32">
        <v>60966954</v>
      </c>
      <c r="F141" s="29">
        <v>72550675.260000005</v>
      </c>
      <c r="G141" s="32">
        <v>3478807</v>
      </c>
      <c r="H141" s="29">
        <v>3478807</v>
      </c>
    </row>
    <row r="142" spans="1:8" x14ac:dyDescent="0.25">
      <c r="A142" s="3" t="s">
        <v>295</v>
      </c>
      <c r="B142" s="3" t="s">
        <v>296</v>
      </c>
      <c r="C142" s="4">
        <v>27024</v>
      </c>
      <c r="D142" s="29">
        <v>0</v>
      </c>
      <c r="E142" s="32">
        <v>27024</v>
      </c>
      <c r="F142" s="29">
        <v>32158.560000000001</v>
      </c>
      <c r="G142" s="32">
        <v>0</v>
      </c>
      <c r="H142" s="29">
        <v>0</v>
      </c>
    </row>
    <row r="143" spans="1:8" x14ac:dyDescent="0.25">
      <c r="A143" s="3" t="s">
        <v>297</v>
      </c>
      <c r="B143" s="3" t="s">
        <v>298</v>
      </c>
      <c r="C143" s="4">
        <v>76055553.209999993</v>
      </c>
      <c r="D143" s="29">
        <v>0</v>
      </c>
      <c r="E143" s="32">
        <v>206962625.19999999</v>
      </c>
      <c r="F143" s="29">
        <v>246285523.99000001</v>
      </c>
      <c r="G143" s="32">
        <v>921783</v>
      </c>
      <c r="H143" s="29">
        <v>921783</v>
      </c>
    </row>
    <row r="144" spans="1:8" x14ac:dyDescent="0.25">
      <c r="A144" s="3" t="s">
        <v>299</v>
      </c>
      <c r="B144" s="3" t="s">
        <v>300</v>
      </c>
      <c r="C144" s="4">
        <v>7588622</v>
      </c>
      <c r="D144" s="29">
        <v>0</v>
      </c>
      <c r="E144" s="32">
        <v>17054427</v>
      </c>
      <c r="F144" s="29">
        <v>20294768.129999999</v>
      </c>
      <c r="G144" s="32">
        <v>108035</v>
      </c>
      <c r="H144" s="29">
        <v>108035</v>
      </c>
    </row>
    <row r="145" spans="1:8" x14ac:dyDescent="0.25">
      <c r="A145" s="3" t="s">
        <v>301</v>
      </c>
      <c r="B145" s="3" t="s">
        <v>302</v>
      </c>
      <c r="C145" s="4">
        <v>140820</v>
      </c>
      <c r="D145" s="29">
        <v>0</v>
      </c>
      <c r="E145" s="32">
        <v>10493820</v>
      </c>
      <c r="F145" s="29">
        <v>12487645.800000001</v>
      </c>
      <c r="G145" s="32">
        <v>0</v>
      </c>
      <c r="H145" s="29">
        <v>0</v>
      </c>
    </row>
    <row r="146" spans="1:8" x14ac:dyDescent="0.25">
      <c r="A146" s="3" t="s">
        <v>303</v>
      </c>
      <c r="B146" s="3" t="s">
        <v>304</v>
      </c>
      <c r="C146" s="4">
        <v>1366250</v>
      </c>
      <c r="D146" s="29">
        <v>0</v>
      </c>
      <c r="E146" s="32">
        <v>1033200</v>
      </c>
      <c r="F146" s="29">
        <v>1229508</v>
      </c>
      <c r="G146" s="32">
        <v>0</v>
      </c>
      <c r="H146" s="29">
        <v>0</v>
      </c>
    </row>
    <row r="147" spans="1:8" x14ac:dyDescent="0.25">
      <c r="A147" s="3" t="s">
        <v>305</v>
      </c>
      <c r="B147" s="3" t="s">
        <v>306</v>
      </c>
      <c r="C147" s="4">
        <v>0</v>
      </c>
      <c r="D147" s="29">
        <v>0</v>
      </c>
      <c r="E147" s="32">
        <v>148234000</v>
      </c>
      <c r="F147" s="29">
        <v>176398460</v>
      </c>
      <c r="G147" s="32">
        <v>0</v>
      </c>
      <c r="H147" s="29">
        <v>0</v>
      </c>
    </row>
    <row r="148" spans="1:8" x14ac:dyDescent="0.25">
      <c r="A148" s="3" t="s">
        <v>307</v>
      </c>
      <c r="B148" s="3" t="s">
        <v>308</v>
      </c>
      <c r="C148" s="4">
        <v>88845633</v>
      </c>
      <c r="D148" s="29">
        <v>0</v>
      </c>
      <c r="E148" s="32">
        <v>85314587</v>
      </c>
      <c r="F148" s="29">
        <v>101524358.53</v>
      </c>
      <c r="G148" s="32">
        <v>256284</v>
      </c>
      <c r="H148" s="29">
        <v>256284</v>
      </c>
    </row>
    <row r="149" spans="1:8" x14ac:dyDescent="0.25">
      <c r="A149" s="3" t="s">
        <v>309</v>
      </c>
      <c r="B149" s="3" t="s">
        <v>310</v>
      </c>
      <c r="C149" s="4">
        <v>11.53</v>
      </c>
      <c r="D149" s="29">
        <v>11.53</v>
      </c>
      <c r="E149" s="32">
        <v>0</v>
      </c>
      <c r="F149" s="29">
        <v>0</v>
      </c>
      <c r="G149" s="32">
        <v>0</v>
      </c>
      <c r="H149" s="29">
        <v>0</v>
      </c>
    </row>
    <row r="150" spans="1:8" x14ac:dyDescent="0.25">
      <c r="A150" s="3" t="s">
        <v>311</v>
      </c>
      <c r="B150" s="3" t="s">
        <v>312</v>
      </c>
      <c r="C150" s="4">
        <v>175708520</v>
      </c>
      <c r="D150" s="29">
        <v>0</v>
      </c>
      <c r="E150" s="32">
        <v>138964661</v>
      </c>
      <c r="F150" s="29">
        <v>165367946.59</v>
      </c>
      <c r="G150" s="32">
        <v>1782743</v>
      </c>
      <c r="H150" s="29">
        <v>1782743</v>
      </c>
    </row>
    <row r="151" spans="1:8" x14ac:dyDescent="0.25">
      <c r="A151" s="3" t="s">
        <v>313</v>
      </c>
      <c r="B151" s="3" t="s">
        <v>314</v>
      </c>
      <c r="C151" s="4">
        <v>10463969</v>
      </c>
      <c r="D151" s="29">
        <v>0</v>
      </c>
      <c r="E151" s="32">
        <v>10671149</v>
      </c>
      <c r="F151" s="29">
        <v>12698667.310000001</v>
      </c>
      <c r="G151" s="32">
        <v>104605</v>
      </c>
      <c r="H151" s="29">
        <v>104605</v>
      </c>
    </row>
    <row r="152" spans="1:8" x14ac:dyDescent="0.25">
      <c r="A152" s="3" t="s">
        <v>315</v>
      </c>
      <c r="B152" s="3" t="s">
        <v>316</v>
      </c>
      <c r="C152" s="4">
        <v>1838689.14</v>
      </c>
      <c r="D152" s="29">
        <v>0</v>
      </c>
      <c r="E152" s="32">
        <v>1838686</v>
      </c>
      <c r="F152" s="29">
        <v>2188036.34</v>
      </c>
      <c r="G152" s="32">
        <v>0</v>
      </c>
      <c r="H152" s="29">
        <v>0</v>
      </c>
    </row>
    <row r="153" spans="1:8" x14ac:dyDescent="0.25">
      <c r="A153" s="3" t="s">
        <v>317</v>
      </c>
      <c r="B153" s="3" t="s">
        <v>318</v>
      </c>
      <c r="C153" s="4">
        <v>317520</v>
      </c>
      <c r="D153" s="29">
        <v>0</v>
      </c>
      <c r="E153" s="32">
        <v>317520</v>
      </c>
      <c r="F153" s="29">
        <v>377848.8</v>
      </c>
      <c r="G153" s="32">
        <v>0</v>
      </c>
      <c r="H153" s="29">
        <v>0</v>
      </c>
    </row>
    <row r="154" spans="1:8" x14ac:dyDescent="0.25">
      <c r="A154" s="3" t="s">
        <v>319</v>
      </c>
      <c r="B154" s="3" t="s">
        <v>320</v>
      </c>
      <c r="C154" s="4">
        <v>19069723</v>
      </c>
      <c r="D154" s="29">
        <v>0</v>
      </c>
      <c r="E154" s="32">
        <v>19069723</v>
      </c>
      <c r="F154" s="29">
        <v>22692970.370000001</v>
      </c>
      <c r="G154" s="32">
        <v>418509</v>
      </c>
      <c r="H154" s="29">
        <v>418509</v>
      </c>
    </row>
    <row r="155" spans="1:8" x14ac:dyDescent="0.25">
      <c r="A155" s="3" t="s">
        <v>321</v>
      </c>
      <c r="B155" s="3" t="s">
        <v>322</v>
      </c>
      <c r="C155" s="4">
        <v>38310300.060000002</v>
      </c>
      <c r="D155" s="29">
        <v>0</v>
      </c>
      <c r="E155" s="32">
        <v>38310280</v>
      </c>
      <c r="F155" s="29">
        <v>45589233.200000003</v>
      </c>
      <c r="G155" s="32">
        <v>0</v>
      </c>
      <c r="H155" s="29">
        <v>0</v>
      </c>
    </row>
    <row r="156" spans="1:8" x14ac:dyDescent="0.25">
      <c r="A156" s="3" t="s">
        <v>323</v>
      </c>
      <c r="B156" s="3" t="s">
        <v>324</v>
      </c>
      <c r="C156" s="4">
        <v>739662</v>
      </c>
      <c r="D156" s="29">
        <v>0</v>
      </c>
      <c r="E156" s="32">
        <v>0</v>
      </c>
      <c r="F156" s="29">
        <v>0</v>
      </c>
      <c r="G156" s="32">
        <v>119780</v>
      </c>
      <c r="H156" s="29">
        <v>119780</v>
      </c>
    </row>
    <row r="157" spans="1:8" x14ac:dyDescent="0.25">
      <c r="A157" s="3" t="s">
        <v>325</v>
      </c>
      <c r="B157" s="3" t="s">
        <v>326</v>
      </c>
      <c r="C157" s="4">
        <v>21240</v>
      </c>
      <c r="D157" s="29">
        <v>0</v>
      </c>
      <c r="E157" s="32">
        <v>702171</v>
      </c>
      <c r="F157" s="29">
        <v>835583.49</v>
      </c>
      <c r="G157" s="32">
        <v>0</v>
      </c>
      <c r="H157" s="29">
        <v>0</v>
      </c>
    </row>
    <row r="158" spans="1:8" x14ac:dyDescent="0.25">
      <c r="A158" s="3" t="s">
        <v>327</v>
      </c>
      <c r="B158" s="3" t="s">
        <v>328</v>
      </c>
      <c r="C158" s="4">
        <v>30893795</v>
      </c>
      <c r="D158" s="29">
        <v>829503</v>
      </c>
      <c r="E158" s="32">
        <v>24371131</v>
      </c>
      <c r="F158" s="29">
        <v>29001645.890000001</v>
      </c>
      <c r="G158" s="32">
        <v>3650699</v>
      </c>
      <c r="H158" s="29">
        <v>3756662</v>
      </c>
    </row>
    <row r="159" spans="1:8" x14ac:dyDescent="0.25">
      <c r="A159" s="3" t="s">
        <v>329</v>
      </c>
      <c r="B159" s="3" t="s">
        <v>330</v>
      </c>
      <c r="C159" s="4">
        <v>20668344</v>
      </c>
      <c r="D159" s="29">
        <v>1449780</v>
      </c>
      <c r="E159" s="32">
        <v>158064</v>
      </c>
      <c r="F159" s="29">
        <v>188096.16</v>
      </c>
      <c r="G159" s="32">
        <v>274864</v>
      </c>
      <c r="H159" s="29">
        <v>274864</v>
      </c>
    </row>
    <row r="160" spans="1:8" x14ac:dyDescent="0.25">
      <c r="A160" s="3" t="s">
        <v>331</v>
      </c>
      <c r="B160" s="3" t="s">
        <v>332</v>
      </c>
      <c r="C160" s="4">
        <v>1085896</v>
      </c>
      <c r="D160" s="29">
        <v>0</v>
      </c>
      <c r="E160" s="32">
        <v>1085896</v>
      </c>
      <c r="F160" s="29">
        <v>1292216.24</v>
      </c>
      <c r="G160" s="32">
        <v>764953</v>
      </c>
      <c r="H160" s="29">
        <v>764953</v>
      </c>
    </row>
    <row r="161" spans="1:8" x14ac:dyDescent="0.25">
      <c r="A161" s="3" t="s">
        <v>333</v>
      </c>
      <c r="B161" s="3" t="s">
        <v>334</v>
      </c>
      <c r="C161" s="4">
        <v>2740335</v>
      </c>
      <c r="D161" s="29">
        <v>0</v>
      </c>
      <c r="E161" s="32">
        <v>2740335</v>
      </c>
      <c r="F161" s="29">
        <v>3260998.65</v>
      </c>
      <c r="G161" s="32">
        <v>0</v>
      </c>
      <c r="H161" s="29">
        <v>0</v>
      </c>
    </row>
    <row r="162" spans="1:8" x14ac:dyDescent="0.25">
      <c r="A162" s="3" t="s">
        <v>335</v>
      </c>
      <c r="B162" s="3" t="s">
        <v>336</v>
      </c>
      <c r="C162" s="4">
        <v>19234800</v>
      </c>
      <c r="D162" s="29">
        <v>0</v>
      </c>
      <c r="E162" s="32">
        <v>124432485</v>
      </c>
      <c r="F162" s="29">
        <v>148074657.15000001</v>
      </c>
      <c r="G162" s="32">
        <v>0</v>
      </c>
      <c r="H162" s="29">
        <v>0</v>
      </c>
    </row>
    <row r="163" spans="1:8" x14ac:dyDescent="0.25">
      <c r="A163" s="3" t="s">
        <v>337</v>
      </c>
      <c r="B163" s="3" t="s">
        <v>338</v>
      </c>
      <c r="C163" s="4">
        <v>23231500</v>
      </c>
      <c r="D163" s="29">
        <v>0</v>
      </c>
      <c r="E163" s="32">
        <v>90417500</v>
      </c>
      <c r="F163" s="29">
        <v>107596825</v>
      </c>
      <c r="G163" s="32">
        <v>0</v>
      </c>
      <c r="H163" s="29">
        <v>0</v>
      </c>
    </row>
    <row r="164" spans="1:8" x14ac:dyDescent="0.25">
      <c r="A164" s="3" t="s">
        <v>339</v>
      </c>
      <c r="B164" s="3" t="s">
        <v>340</v>
      </c>
      <c r="C164" s="4">
        <v>23061977</v>
      </c>
      <c r="D164" s="29">
        <v>5321100</v>
      </c>
      <c r="E164" s="32">
        <v>17740877</v>
      </c>
      <c r="F164" s="29">
        <v>21111643.629999999</v>
      </c>
      <c r="G164" s="32">
        <v>0</v>
      </c>
      <c r="H164" s="29">
        <v>0</v>
      </c>
    </row>
    <row r="165" spans="1:8" x14ac:dyDescent="0.25">
      <c r="A165" s="3" t="s">
        <v>341</v>
      </c>
      <c r="B165" s="3" t="s">
        <v>342</v>
      </c>
      <c r="C165" s="4">
        <v>540760</v>
      </c>
      <c r="D165" s="29">
        <v>0</v>
      </c>
      <c r="E165" s="32">
        <v>540760</v>
      </c>
      <c r="F165" s="29">
        <v>643504.4</v>
      </c>
      <c r="G165" s="32">
        <v>0</v>
      </c>
      <c r="H165" s="29">
        <v>0</v>
      </c>
    </row>
    <row r="166" spans="1:8" x14ac:dyDescent="0.25">
      <c r="A166" s="3" t="s">
        <v>343</v>
      </c>
      <c r="B166" s="3" t="s">
        <v>344</v>
      </c>
      <c r="C166" s="4">
        <v>2073893</v>
      </c>
      <c r="D166" s="29">
        <v>420415</v>
      </c>
      <c r="E166" s="32">
        <v>10843586</v>
      </c>
      <c r="F166" s="29">
        <v>12903867.34</v>
      </c>
      <c r="G166" s="32">
        <v>0</v>
      </c>
      <c r="H166" s="29">
        <v>0</v>
      </c>
    </row>
    <row r="167" spans="1:8" x14ac:dyDescent="0.25">
      <c r="A167" s="3" t="s">
        <v>345</v>
      </c>
      <c r="B167" s="3" t="s">
        <v>346</v>
      </c>
      <c r="C167" s="4">
        <v>53358090</v>
      </c>
      <c r="D167" s="29">
        <v>0</v>
      </c>
      <c r="E167" s="32">
        <v>44668214</v>
      </c>
      <c r="F167" s="29">
        <v>53155174.659999996</v>
      </c>
      <c r="G167" s="32">
        <v>394662</v>
      </c>
      <c r="H167" s="29">
        <v>394662</v>
      </c>
    </row>
    <row r="168" spans="1:8" x14ac:dyDescent="0.25">
      <c r="A168" s="3" t="s">
        <v>347</v>
      </c>
      <c r="B168" s="3" t="s">
        <v>348</v>
      </c>
      <c r="C168" s="4">
        <v>231961197</v>
      </c>
      <c r="D168" s="29">
        <v>0</v>
      </c>
      <c r="E168" s="32">
        <v>77320399</v>
      </c>
      <c r="F168" s="29">
        <v>92011274.810000002</v>
      </c>
      <c r="G168" s="32">
        <v>0</v>
      </c>
      <c r="H168" s="29">
        <v>0</v>
      </c>
    </row>
    <row r="169" spans="1:8" x14ac:dyDescent="0.25">
      <c r="A169" s="3" t="s">
        <v>349</v>
      </c>
      <c r="B169" s="3" t="s">
        <v>350</v>
      </c>
      <c r="C169" s="4">
        <v>12644534</v>
      </c>
      <c r="D169" s="29">
        <v>0</v>
      </c>
      <c r="E169" s="32">
        <v>13009489</v>
      </c>
      <c r="F169" s="29">
        <v>15458638.210000001</v>
      </c>
      <c r="G169" s="32">
        <v>355868</v>
      </c>
      <c r="H169" s="29">
        <v>355868</v>
      </c>
    </row>
    <row r="170" spans="1:8" x14ac:dyDescent="0.25">
      <c r="A170" s="3" t="s">
        <v>351</v>
      </c>
      <c r="B170" s="3" t="s">
        <v>352</v>
      </c>
      <c r="C170" s="4">
        <v>10064795</v>
      </c>
      <c r="D170" s="29">
        <v>0</v>
      </c>
      <c r="E170" s="32">
        <v>22710035</v>
      </c>
      <c r="F170" s="29">
        <v>27024941.649999999</v>
      </c>
      <c r="G170" s="32">
        <v>1812501</v>
      </c>
      <c r="H170" s="29">
        <v>2137495.4300000002</v>
      </c>
    </row>
    <row r="171" spans="1:8" x14ac:dyDescent="0.25">
      <c r="A171" s="3" t="s">
        <v>353</v>
      </c>
      <c r="B171" s="3" t="s">
        <v>354</v>
      </c>
      <c r="C171" s="4">
        <v>12059552</v>
      </c>
      <c r="D171" s="29">
        <v>0</v>
      </c>
      <c r="E171" s="32">
        <v>12059552</v>
      </c>
      <c r="F171" s="29">
        <v>14350866.880000001</v>
      </c>
      <c r="G171" s="32">
        <v>0</v>
      </c>
      <c r="H171" s="29">
        <v>0</v>
      </c>
    </row>
    <row r="172" spans="1:8" x14ac:dyDescent="0.25">
      <c r="A172" s="3" t="s">
        <v>355</v>
      </c>
      <c r="B172" s="3" t="s">
        <v>356</v>
      </c>
      <c r="C172" s="4">
        <v>5397641</v>
      </c>
      <c r="D172" s="29">
        <v>0</v>
      </c>
      <c r="E172" s="32">
        <v>5397641</v>
      </c>
      <c r="F172" s="29">
        <v>6423192.79</v>
      </c>
      <c r="G172" s="32">
        <v>282744</v>
      </c>
      <c r="H172" s="29">
        <v>336465.36</v>
      </c>
    </row>
    <row r="173" spans="1:8" x14ac:dyDescent="0.25">
      <c r="A173" s="3" t="s">
        <v>357</v>
      </c>
      <c r="B173" s="3" t="s">
        <v>358</v>
      </c>
      <c r="C173" s="4">
        <v>27702765</v>
      </c>
      <c r="D173" s="29">
        <v>0</v>
      </c>
      <c r="E173" s="32">
        <v>25340795</v>
      </c>
      <c r="F173" s="29">
        <v>30155546.050000001</v>
      </c>
      <c r="G173" s="32">
        <v>1046459</v>
      </c>
      <c r="H173" s="29">
        <v>1046459</v>
      </c>
    </row>
    <row r="174" spans="1:8" x14ac:dyDescent="0.25">
      <c r="A174" s="3" t="s">
        <v>359</v>
      </c>
      <c r="B174" s="3" t="s">
        <v>360</v>
      </c>
      <c r="C174" s="4">
        <v>43227837</v>
      </c>
      <c r="D174" s="29">
        <v>0</v>
      </c>
      <c r="E174" s="32">
        <v>43732419.799999997</v>
      </c>
      <c r="F174" s="29">
        <v>52041579.560000002</v>
      </c>
      <c r="G174" s="32">
        <v>2718287</v>
      </c>
      <c r="H174" s="29">
        <v>2723519.6</v>
      </c>
    </row>
    <row r="175" spans="1:8" x14ac:dyDescent="0.25">
      <c r="A175" s="3" t="s">
        <v>361</v>
      </c>
      <c r="B175" s="3" t="s">
        <v>362</v>
      </c>
      <c r="C175" s="4">
        <v>2355260.0099999998</v>
      </c>
      <c r="D175" s="29">
        <v>0</v>
      </c>
      <c r="E175" s="32">
        <v>1056907</v>
      </c>
      <c r="F175" s="29">
        <v>1257719.33</v>
      </c>
      <c r="G175" s="32">
        <v>0</v>
      </c>
      <c r="H175" s="29">
        <v>0</v>
      </c>
    </row>
    <row r="176" spans="1:8" x14ac:dyDescent="0.25">
      <c r="A176" s="3" t="s">
        <v>363</v>
      </c>
      <c r="B176" s="3" t="s">
        <v>364</v>
      </c>
      <c r="C176" s="4">
        <v>5094652.04</v>
      </c>
      <c r="D176" s="29">
        <v>0</v>
      </c>
      <c r="E176" s="32">
        <v>2079474</v>
      </c>
      <c r="F176" s="29">
        <v>2474574.06</v>
      </c>
      <c r="G176" s="32">
        <v>0</v>
      </c>
      <c r="H176" s="29">
        <v>0</v>
      </c>
    </row>
    <row r="177" spans="1:8" x14ac:dyDescent="0.25">
      <c r="A177" s="3" t="s">
        <v>365</v>
      </c>
      <c r="B177" s="3" t="s">
        <v>366</v>
      </c>
      <c r="C177" s="4">
        <v>498200</v>
      </c>
      <c r="D177" s="29">
        <v>0</v>
      </c>
      <c r="E177" s="32">
        <v>29876316</v>
      </c>
      <c r="F177" s="29">
        <v>35552816.039999999</v>
      </c>
      <c r="G177" s="32">
        <v>0</v>
      </c>
      <c r="H177" s="29">
        <v>0</v>
      </c>
    </row>
    <row r="178" spans="1:8" x14ac:dyDescent="0.25">
      <c r="A178" s="3" t="s">
        <v>367</v>
      </c>
      <c r="B178" s="3" t="s">
        <v>368</v>
      </c>
      <c r="C178" s="4">
        <v>39196580.600000001</v>
      </c>
      <c r="D178" s="29">
        <v>9538130</v>
      </c>
      <c r="E178" s="32">
        <v>38680039</v>
      </c>
      <c r="F178" s="29">
        <v>46029246.409999996</v>
      </c>
      <c r="G178" s="32">
        <v>760570</v>
      </c>
      <c r="H178" s="29">
        <v>760570</v>
      </c>
    </row>
    <row r="179" spans="1:8" x14ac:dyDescent="0.25">
      <c r="A179" s="3" t="s">
        <v>369</v>
      </c>
      <c r="B179" s="3" t="s">
        <v>370</v>
      </c>
      <c r="C179" s="4">
        <v>1451892</v>
      </c>
      <c r="D179" s="29">
        <v>0</v>
      </c>
      <c r="E179" s="32">
        <v>1451892</v>
      </c>
      <c r="F179" s="29">
        <v>1727751.48</v>
      </c>
      <c r="G179" s="32">
        <v>0</v>
      </c>
      <c r="H179" s="29">
        <v>0</v>
      </c>
    </row>
    <row r="180" spans="1:8" x14ac:dyDescent="0.25">
      <c r="A180" s="3" t="s">
        <v>371</v>
      </c>
      <c r="B180" s="3" t="s">
        <v>372</v>
      </c>
      <c r="C180" s="4">
        <v>18740059</v>
      </c>
      <c r="D180" s="29">
        <v>0</v>
      </c>
      <c r="E180" s="32">
        <v>20766834</v>
      </c>
      <c r="F180" s="29">
        <v>24712532.460000001</v>
      </c>
      <c r="G180" s="32">
        <v>648314</v>
      </c>
      <c r="H180" s="29">
        <v>729292</v>
      </c>
    </row>
    <row r="181" spans="1:8" x14ac:dyDescent="0.25">
      <c r="A181" s="3" t="s">
        <v>373</v>
      </c>
      <c r="B181" s="3" t="s">
        <v>374</v>
      </c>
      <c r="C181" s="4">
        <v>676428</v>
      </c>
      <c r="D181" s="29">
        <v>0</v>
      </c>
      <c r="E181" s="32">
        <v>676428</v>
      </c>
      <c r="F181" s="29">
        <v>804949.32</v>
      </c>
      <c r="G181" s="32">
        <v>0</v>
      </c>
      <c r="H181" s="29">
        <v>0</v>
      </c>
    </row>
    <row r="182" spans="1:8" x14ac:dyDescent="0.25">
      <c r="A182" s="3" t="s">
        <v>375</v>
      </c>
      <c r="B182" s="3" t="s">
        <v>376</v>
      </c>
      <c r="C182" s="4">
        <v>35300</v>
      </c>
      <c r="D182" s="29">
        <v>0</v>
      </c>
      <c r="E182" s="32">
        <v>564800</v>
      </c>
      <c r="F182" s="29">
        <v>672112</v>
      </c>
      <c r="G182" s="32">
        <v>0</v>
      </c>
      <c r="H182" s="29">
        <v>0</v>
      </c>
    </row>
    <row r="183" spans="1:8" x14ac:dyDescent="0.25">
      <c r="A183" s="3" t="s">
        <v>377</v>
      </c>
      <c r="B183" s="3" t="s">
        <v>378</v>
      </c>
      <c r="C183" s="4">
        <v>8008800</v>
      </c>
      <c r="D183" s="29">
        <v>0</v>
      </c>
      <c r="E183" s="32">
        <v>8008800</v>
      </c>
      <c r="F183" s="29">
        <v>9530472</v>
      </c>
      <c r="G183" s="32">
        <v>0</v>
      </c>
      <c r="H183" s="29">
        <v>0</v>
      </c>
    </row>
    <row r="184" spans="1:8" x14ac:dyDescent="0.25">
      <c r="A184" s="3" t="s">
        <v>379</v>
      </c>
      <c r="B184" s="3" t="s">
        <v>380</v>
      </c>
      <c r="C184" s="4">
        <v>65077255.049999997</v>
      </c>
      <c r="D184" s="29">
        <v>1512</v>
      </c>
      <c r="E184" s="32">
        <v>69474219</v>
      </c>
      <c r="F184" s="29">
        <v>82674320.609999999</v>
      </c>
      <c r="G184" s="32">
        <v>2949912</v>
      </c>
      <c r="H184" s="29">
        <v>2949912</v>
      </c>
    </row>
    <row r="185" spans="1:8" x14ac:dyDescent="0.25">
      <c r="A185" s="3" t="s">
        <v>381</v>
      </c>
      <c r="B185" s="3" t="s">
        <v>382</v>
      </c>
      <c r="C185" s="4">
        <v>1353629</v>
      </c>
      <c r="D185" s="29">
        <v>0</v>
      </c>
      <c r="E185" s="32">
        <v>1353629</v>
      </c>
      <c r="F185" s="29">
        <v>1610818.51</v>
      </c>
      <c r="G185" s="32">
        <v>0</v>
      </c>
      <c r="H185" s="29">
        <v>0</v>
      </c>
    </row>
    <row r="186" spans="1:8" x14ac:dyDescent="0.25">
      <c r="A186" s="3" t="s">
        <v>383</v>
      </c>
      <c r="B186" s="3" t="s">
        <v>384</v>
      </c>
      <c r="C186" s="4">
        <v>5738126.7000000002</v>
      </c>
      <c r="D186" s="29">
        <v>0</v>
      </c>
      <c r="E186" s="32">
        <v>3350513</v>
      </c>
      <c r="F186" s="29">
        <v>3987110.47</v>
      </c>
      <c r="G186" s="32">
        <v>0</v>
      </c>
      <c r="H186" s="29">
        <v>0</v>
      </c>
    </row>
    <row r="187" spans="1:8" x14ac:dyDescent="0.25">
      <c r="A187" s="3" t="s">
        <v>385</v>
      </c>
      <c r="B187" s="3" t="s">
        <v>386</v>
      </c>
      <c r="C187" s="4">
        <v>1846361.02</v>
      </c>
      <c r="D187" s="29">
        <v>0</v>
      </c>
      <c r="E187" s="32">
        <v>1846356</v>
      </c>
      <c r="F187" s="29">
        <v>2197163.64</v>
      </c>
      <c r="G187" s="32">
        <v>0</v>
      </c>
      <c r="H187" s="29">
        <v>0</v>
      </c>
    </row>
    <row r="188" spans="1:8" x14ac:dyDescent="0.25">
      <c r="A188" s="3" t="s">
        <v>387</v>
      </c>
      <c r="B188" s="3" t="s">
        <v>388</v>
      </c>
      <c r="C188" s="4">
        <v>3756696</v>
      </c>
      <c r="D188" s="29">
        <v>0</v>
      </c>
      <c r="E188" s="32">
        <v>2423212</v>
      </c>
      <c r="F188" s="29">
        <v>2883622.28</v>
      </c>
      <c r="G188" s="32">
        <v>0</v>
      </c>
      <c r="H188" s="29">
        <v>0</v>
      </c>
    </row>
    <row r="189" spans="1:8" x14ac:dyDescent="0.25">
      <c r="A189" s="3" t="s">
        <v>389</v>
      </c>
      <c r="B189" s="3" t="s">
        <v>390</v>
      </c>
      <c r="C189" s="4">
        <v>475468</v>
      </c>
      <c r="D189" s="29">
        <v>0</v>
      </c>
      <c r="E189" s="32">
        <v>2138598</v>
      </c>
      <c r="F189" s="29">
        <v>2544931.62</v>
      </c>
      <c r="G189" s="32">
        <v>0</v>
      </c>
      <c r="H189" s="29">
        <v>0</v>
      </c>
    </row>
    <row r="190" spans="1:8" x14ac:dyDescent="0.25">
      <c r="A190" s="3" t="s">
        <v>391</v>
      </c>
      <c r="B190" s="3" t="s">
        <v>392</v>
      </c>
      <c r="C190" s="4">
        <v>2296440</v>
      </c>
      <c r="D190" s="29">
        <v>0</v>
      </c>
      <c r="E190" s="32">
        <v>2296440</v>
      </c>
      <c r="F190" s="29">
        <v>2732763.6</v>
      </c>
      <c r="G190" s="32">
        <v>0</v>
      </c>
      <c r="H190" s="29">
        <v>0</v>
      </c>
    </row>
    <row r="191" spans="1:8" x14ac:dyDescent="0.25">
      <c r="A191" s="3" t="s">
        <v>393</v>
      </c>
      <c r="B191" s="3" t="s">
        <v>394</v>
      </c>
      <c r="C191" s="4">
        <v>91884932.120000005</v>
      </c>
      <c r="D191" s="29">
        <v>11840700</v>
      </c>
      <c r="E191" s="32">
        <v>80044225</v>
      </c>
      <c r="F191" s="29">
        <v>95252627.75</v>
      </c>
      <c r="G191" s="32">
        <v>2445434</v>
      </c>
      <c r="H191" s="29">
        <v>2445434</v>
      </c>
    </row>
    <row r="192" spans="1:8" x14ac:dyDescent="0.25">
      <c r="A192" s="3" t="s">
        <v>395</v>
      </c>
      <c r="B192" s="3" t="s">
        <v>396</v>
      </c>
      <c r="C192" s="4">
        <v>375081</v>
      </c>
      <c r="D192" s="29">
        <v>0</v>
      </c>
      <c r="E192" s="32">
        <v>375081</v>
      </c>
      <c r="F192" s="29">
        <v>446346.39</v>
      </c>
      <c r="G192" s="32">
        <v>0</v>
      </c>
      <c r="H192" s="29">
        <v>0</v>
      </c>
    </row>
    <row r="193" spans="1:8" x14ac:dyDescent="0.25">
      <c r="A193" s="3" t="s">
        <v>397</v>
      </c>
      <c r="B193" s="3" t="s">
        <v>398</v>
      </c>
      <c r="C193" s="4">
        <v>693548</v>
      </c>
      <c r="D193" s="29">
        <v>0</v>
      </c>
      <c r="E193" s="32">
        <v>693548</v>
      </c>
      <c r="F193" s="29">
        <v>825322.12</v>
      </c>
      <c r="G193" s="32">
        <v>0</v>
      </c>
      <c r="H193" s="29">
        <v>0</v>
      </c>
    </row>
    <row r="194" spans="1:8" x14ac:dyDescent="0.25">
      <c r="A194" s="3" t="s">
        <v>399</v>
      </c>
      <c r="B194" s="3" t="s">
        <v>400</v>
      </c>
      <c r="C194" s="4">
        <v>0</v>
      </c>
      <c r="D194" s="29">
        <v>0</v>
      </c>
      <c r="E194" s="32">
        <v>873681</v>
      </c>
      <c r="F194" s="29">
        <v>1039680.39</v>
      </c>
      <c r="G194" s="32">
        <v>0</v>
      </c>
      <c r="H194" s="29">
        <v>0</v>
      </c>
    </row>
    <row r="195" spans="1:8" x14ac:dyDescent="0.25">
      <c r="A195" s="3" t="s">
        <v>401</v>
      </c>
      <c r="B195" s="3" t="s">
        <v>402</v>
      </c>
      <c r="C195" s="4">
        <v>527618</v>
      </c>
      <c r="D195" s="29">
        <v>0</v>
      </c>
      <c r="E195" s="32">
        <v>1550591</v>
      </c>
      <c r="F195" s="29">
        <v>1845203.29</v>
      </c>
      <c r="G195" s="32">
        <v>0</v>
      </c>
      <c r="H195" s="29">
        <v>0</v>
      </c>
    </row>
    <row r="196" spans="1:8" x14ac:dyDescent="0.25">
      <c r="A196" s="3" t="s">
        <v>403</v>
      </c>
      <c r="B196" s="3" t="s">
        <v>404</v>
      </c>
      <c r="C196" s="4">
        <v>4609149</v>
      </c>
      <c r="D196" s="29">
        <v>0</v>
      </c>
      <c r="E196" s="32">
        <v>4609148</v>
      </c>
      <c r="F196" s="29">
        <v>5484886.1200000001</v>
      </c>
      <c r="G196" s="32">
        <v>0</v>
      </c>
      <c r="H196" s="29">
        <v>0</v>
      </c>
    </row>
    <row r="197" spans="1:8" x14ac:dyDescent="0.25">
      <c r="A197" s="3" t="s">
        <v>405</v>
      </c>
      <c r="B197" s="3" t="s">
        <v>406</v>
      </c>
      <c r="C197" s="4">
        <v>984650</v>
      </c>
      <c r="D197" s="29">
        <v>0</v>
      </c>
      <c r="E197" s="32">
        <v>984650</v>
      </c>
      <c r="F197" s="29">
        <v>1171733.5</v>
      </c>
      <c r="G197" s="32">
        <v>0</v>
      </c>
      <c r="H197" s="29">
        <v>0</v>
      </c>
    </row>
    <row r="198" spans="1:8" x14ac:dyDescent="0.25">
      <c r="A198" s="3" t="s">
        <v>407</v>
      </c>
      <c r="B198" s="3" t="s">
        <v>408</v>
      </c>
      <c r="C198" s="4">
        <v>124600</v>
      </c>
      <c r="D198" s="29">
        <v>0</v>
      </c>
      <c r="E198" s="32">
        <v>124600</v>
      </c>
      <c r="F198" s="29">
        <v>148274</v>
      </c>
      <c r="G198" s="32">
        <v>0</v>
      </c>
      <c r="H198" s="29">
        <v>0</v>
      </c>
    </row>
    <row r="199" spans="1:8" x14ac:dyDescent="0.25">
      <c r="A199" s="3" t="s">
        <v>409</v>
      </c>
      <c r="B199" s="3" t="s">
        <v>410</v>
      </c>
      <c r="C199" s="4">
        <v>30393126</v>
      </c>
      <c r="D199" s="29">
        <v>0</v>
      </c>
      <c r="E199" s="32">
        <v>30393126</v>
      </c>
      <c r="F199" s="29">
        <v>36008455.159999996</v>
      </c>
      <c r="G199" s="32">
        <v>761840</v>
      </c>
      <c r="H199" s="29">
        <v>906589.6</v>
      </c>
    </row>
    <row r="200" spans="1:8" x14ac:dyDescent="0.25">
      <c r="A200" s="3" t="s">
        <v>411</v>
      </c>
      <c r="B200" s="3" t="s">
        <v>412</v>
      </c>
      <c r="C200" s="4">
        <v>15340152</v>
      </c>
      <c r="D200" s="29">
        <v>0</v>
      </c>
      <c r="E200" s="32">
        <v>12580609</v>
      </c>
      <c r="F200" s="29">
        <v>14970924.710000001</v>
      </c>
      <c r="G200" s="32">
        <v>0</v>
      </c>
      <c r="H200" s="29">
        <v>0</v>
      </c>
    </row>
    <row r="201" spans="1:8" x14ac:dyDescent="0.25">
      <c r="A201" s="3" t="s">
        <v>413</v>
      </c>
      <c r="B201" s="3" t="s">
        <v>414</v>
      </c>
      <c r="C201" s="4">
        <v>4161900</v>
      </c>
      <c r="D201" s="29">
        <v>0</v>
      </c>
      <c r="E201" s="32">
        <v>7937615</v>
      </c>
      <c r="F201" s="29">
        <v>9445761.8499999996</v>
      </c>
      <c r="G201" s="32">
        <v>0</v>
      </c>
      <c r="H201" s="29">
        <v>0</v>
      </c>
    </row>
    <row r="202" spans="1:8" x14ac:dyDescent="0.25">
      <c r="A202" s="3" t="s">
        <v>415</v>
      </c>
      <c r="B202" s="3" t="s">
        <v>416</v>
      </c>
      <c r="C202" s="4">
        <v>3536556</v>
      </c>
      <c r="D202" s="29">
        <v>0</v>
      </c>
      <c r="E202" s="32">
        <v>7366806</v>
      </c>
      <c r="F202" s="29">
        <v>8766499.1400000006</v>
      </c>
      <c r="G202" s="32">
        <v>136204</v>
      </c>
      <c r="H202" s="29">
        <v>136204</v>
      </c>
    </row>
    <row r="203" spans="1:8" x14ac:dyDescent="0.25">
      <c r="A203" s="3" t="s">
        <v>417</v>
      </c>
      <c r="B203" s="3" t="s">
        <v>418</v>
      </c>
      <c r="C203" s="4">
        <v>44555351</v>
      </c>
      <c r="D203" s="29">
        <v>0</v>
      </c>
      <c r="E203" s="32">
        <v>40006214</v>
      </c>
      <c r="F203" s="29">
        <v>47607394.659999996</v>
      </c>
      <c r="G203" s="32">
        <v>1508530</v>
      </c>
      <c r="H203" s="29">
        <v>1795150.7</v>
      </c>
    </row>
    <row r="204" spans="1:8" x14ac:dyDescent="0.25">
      <c r="A204" s="3" t="s">
        <v>419</v>
      </c>
      <c r="B204" s="3" t="s">
        <v>420</v>
      </c>
      <c r="C204" s="4">
        <v>3533952</v>
      </c>
      <c r="D204" s="29">
        <v>0</v>
      </c>
      <c r="E204" s="32">
        <v>3533952</v>
      </c>
      <c r="F204" s="29">
        <v>4205402.88</v>
      </c>
      <c r="G204" s="32">
        <v>283420</v>
      </c>
      <c r="H204" s="29">
        <v>283420</v>
      </c>
    </row>
    <row r="205" spans="1:8" x14ac:dyDescent="0.25">
      <c r="A205" s="3" t="s">
        <v>421</v>
      </c>
      <c r="B205" s="3" t="s">
        <v>422</v>
      </c>
      <c r="C205" s="4">
        <v>0</v>
      </c>
      <c r="D205" s="29">
        <v>0</v>
      </c>
      <c r="E205" s="32">
        <v>287280</v>
      </c>
      <c r="F205" s="29">
        <v>341863.2</v>
      </c>
      <c r="G205" s="32">
        <v>0</v>
      </c>
      <c r="H205" s="29">
        <v>0</v>
      </c>
    </row>
    <row r="206" spans="1:8" x14ac:dyDescent="0.25">
      <c r="A206" s="3" t="s">
        <v>423</v>
      </c>
      <c r="B206" s="3" t="s">
        <v>424</v>
      </c>
      <c r="C206" s="4">
        <v>9462069</v>
      </c>
      <c r="D206" s="29">
        <v>0</v>
      </c>
      <c r="E206" s="32">
        <v>9462069</v>
      </c>
      <c r="F206" s="29">
        <v>11259862.109999999</v>
      </c>
      <c r="G206" s="32">
        <v>0</v>
      </c>
      <c r="H206" s="29">
        <v>0</v>
      </c>
    </row>
    <row r="207" spans="1:8" x14ac:dyDescent="0.25">
      <c r="A207" s="3" t="s">
        <v>425</v>
      </c>
      <c r="B207" s="3" t="s">
        <v>426</v>
      </c>
      <c r="C207" s="4">
        <v>520156</v>
      </c>
      <c r="D207" s="29">
        <v>0</v>
      </c>
      <c r="E207" s="32">
        <v>520156</v>
      </c>
      <c r="F207" s="29">
        <v>618985.64</v>
      </c>
      <c r="G207" s="32">
        <v>0</v>
      </c>
      <c r="H207" s="29">
        <v>0</v>
      </c>
    </row>
    <row r="208" spans="1:8" x14ac:dyDescent="0.25">
      <c r="A208" s="3" t="s">
        <v>427</v>
      </c>
      <c r="B208" s="3" t="s">
        <v>428</v>
      </c>
      <c r="C208" s="4">
        <v>251501195</v>
      </c>
      <c r="D208" s="29">
        <v>1052670</v>
      </c>
      <c r="E208" s="32">
        <v>105713735</v>
      </c>
      <c r="F208" s="29">
        <v>125799344.65000001</v>
      </c>
      <c r="G208" s="32">
        <v>1473887</v>
      </c>
      <c r="H208" s="29">
        <v>1571129</v>
      </c>
    </row>
    <row r="209" spans="1:8" x14ac:dyDescent="0.25">
      <c r="A209" s="3" t="s">
        <v>429</v>
      </c>
      <c r="B209" s="3" t="s">
        <v>430</v>
      </c>
      <c r="C209" s="4">
        <v>872743</v>
      </c>
      <c r="D209" s="29">
        <v>0</v>
      </c>
      <c r="E209" s="32">
        <v>872743</v>
      </c>
      <c r="F209" s="29">
        <v>1038564.17</v>
      </c>
      <c r="G209" s="32">
        <v>0</v>
      </c>
      <c r="H209" s="29">
        <v>0</v>
      </c>
    </row>
    <row r="210" spans="1:8" x14ac:dyDescent="0.25">
      <c r="A210" s="3" t="s">
        <v>431</v>
      </c>
      <c r="B210" s="3" t="s">
        <v>432</v>
      </c>
      <c r="C210" s="4">
        <v>400320</v>
      </c>
      <c r="D210" s="29">
        <v>0</v>
      </c>
      <c r="E210" s="32">
        <v>400320</v>
      </c>
      <c r="F210" s="29">
        <v>476380.8</v>
      </c>
      <c r="G210" s="32">
        <v>0</v>
      </c>
      <c r="H210" s="29">
        <v>0</v>
      </c>
    </row>
    <row r="211" spans="1:8" x14ac:dyDescent="0.25">
      <c r="A211" s="3" t="s">
        <v>433</v>
      </c>
      <c r="B211" s="3" t="s">
        <v>434</v>
      </c>
      <c r="C211" s="4">
        <v>10417667</v>
      </c>
      <c r="D211" s="29">
        <v>0</v>
      </c>
      <c r="E211" s="32">
        <v>9909174</v>
      </c>
      <c r="F211" s="29">
        <v>11791917.060000001</v>
      </c>
      <c r="G211" s="32">
        <v>688644</v>
      </c>
      <c r="H211" s="29">
        <v>819486.36</v>
      </c>
    </row>
    <row r="212" spans="1:8" x14ac:dyDescent="0.25">
      <c r="A212" s="3" t="s">
        <v>435</v>
      </c>
      <c r="B212" s="3" t="s">
        <v>436</v>
      </c>
      <c r="C212" s="4">
        <v>973872</v>
      </c>
      <c r="D212" s="29">
        <v>0</v>
      </c>
      <c r="E212" s="32">
        <v>973872</v>
      </c>
      <c r="F212" s="29">
        <v>1158907.68</v>
      </c>
      <c r="G212" s="32">
        <v>0</v>
      </c>
      <c r="H212" s="29">
        <v>0</v>
      </c>
    </row>
    <row r="213" spans="1:8" x14ac:dyDescent="0.25">
      <c r="A213" s="3" t="s">
        <v>437</v>
      </c>
      <c r="B213" s="3" t="s">
        <v>438</v>
      </c>
      <c r="C213" s="4">
        <v>51145505</v>
      </c>
      <c r="D213" s="29">
        <v>21115008</v>
      </c>
      <c r="E213" s="32">
        <v>29862792</v>
      </c>
      <c r="F213" s="29">
        <v>35536722.479999997</v>
      </c>
      <c r="G213" s="32">
        <v>0</v>
      </c>
      <c r="H213" s="29">
        <v>0</v>
      </c>
    </row>
    <row r="214" spans="1:8" x14ac:dyDescent="0.25">
      <c r="A214" s="3" t="s">
        <v>439</v>
      </c>
      <c r="B214" s="3" t="s">
        <v>440</v>
      </c>
      <c r="C214" s="4">
        <v>19460850</v>
      </c>
      <c r="D214" s="29">
        <v>150</v>
      </c>
      <c r="E214" s="32">
        <v>8016070</v>
      </c>
      <c r="F214" s="29">
        <v>9530041.3000000007</v>
      </c>
      <c r="G214" s="32">
        <v>0</v>
      </c>
      <c r="H214" s="29">
        <v>0</v>
      </c>
    </row>
    <row r="215" spans="1:8" x14ac:dyDescent="0.25">
      <c r="A215" s="3" t="s">
        <v>441</v>
      </c>
      <c r="B215" s="3" t="s">
        <v>442</v>
      </c>
      <c r="C215" s="4">
        <v>3364268</v>
      </c>
      <c r="D215" s="29">
        <v>0</v>
      </c>
      <c r="E215" s="32">
        <v>4881738</v>
      </c>
      <c r="F215" s="29">
        <v>5809268.2199999997</v>
      </c>
      <c r="G215" s="32">
        <v>0</v>
      </c>
      <c r="H215" s="29">
        <v>0</v>
      </c>
    </row>
    <row r="216" spans="1:8" x14ac:dyDescent="0.25">
      <c r="A216" s="3" t="s">
        <v>443</v>
      </c>
      <c r="B216" s="3" t="s">
        <v>444</v>
      </c>
      <c r="C216" s="4">
        <v>0</v>
      </c>
      <c r="D216" s="29">
        <v>0</v>
      </c>
      <c r="E216" s="32">
        <v>17148600</v>
      </c>
      <c r="F216" s="29">
        <v>20406834</v>
      </c>
      <c r="G216" s="32">
        <v>0</v>
      </c>
      <c r="H216" s="29">
        <v>0</v>
      </c>
    </row>
    <row r="217" spans="1:8" x14ac:dyDescent="0.25">
      <c r="A217" s="3" t="s">
        <v>445</v>
      </c>
      <c r="B217" s="3" t="s">
        <v>446</v>
      </c>
      <c r="C217" s="4">
        <v>5372084</v>
      </c>
      <c r="D217" s="29">
        <v>603475</v>
      </c>
      <c r="E217" s="32">
        <v>4768609</v>
      </c>
      <c r="F217" s="29">
        <v>5674644.71</v>
      </c>
      <c r="G217" s="32">
        <v>0</v>
      </c>
      <c r="H217" s="29">
        <v>0</v>
      </c>
    </row>
    <row r="218" spans="1:8" x14ac:dyDescent="0.25">
      <c r="A218" s="3" t="s">
        <v>447</v>
      </c>
      <c r="B218" s="3" t="s">
        <v>448</v>
      </c>
      <c r="C218" s="4">
        <v>421630</v>
      </c>
      <c r="D218" s="29">
        <v>0</v>
      </c>
      <c r="E218" s="32">
        <v>421630</v>
      </c>
      <c r="F218" s="29">
        <v>501739.7</v>
      </c>
      <c r="G218" s="32">
        <v>0</v>
      </c>
      <c r="H218" s="29">
        <v>0</v>
      </c>
    </row>
    <row r="219" spans="1:8" x14ac:dyDescent="0.25">
      <c r="A219" s="3" t="s">
        <v>449</v>
      </c>
      <c r="B219" s="3" t="s">
        <v>450</v>
      </c>
      <c r="C219" s="4">
        <v>1360200</v>
      </c>
      <c r="D219" s="29">
        <v>0</v>
      </c>
      <c r="E219" s="32">
        <v>1360200</v>
      </c>
      <c r="F219" s="29">
        <v>1548908</v>
      </c>
      <c r="G219" s="32">
        <v>0</v>
      </c>
      <c r="H219" s="29">
        <v>0</v>
      </c>
    </row>
    <row r="220" spans="1:8" x14ac:dyDescent="0.25">
      <c r="A220" s="3" t="s">
        <v>451</v>
      </c>
      <c r="B220" s="3" t="s">
        <v>452</v>
      </c>
      <c r="C220" s="4">
        <v>393080</v>
      </c>
      <c r="D220" s="29">
        <v>0</v>
      </c>
      <c r="E220" s="32">
        <v>393080</v>
      </c>
      <c r="F220" s="29">
        <v>467765.2</v>
      </c>
      <c r="G220" s="32">
        <v>0</v>
      </c>
      <c r="H220" s="29">
        <v>0</v>
      </c>
    </row>
    <row r="221" spans="1:8" x14ac:dyDescent="0.25">
      <c r="A221" s="3" t="s">
        <v>453</v>
      </c>
      <c r="B221" s="3" t="s">
        <v>454</v>
      </c>
      <c r="C221" s="4">
        <v>0</v>
      </c>
      <c r="D221" s="29">
        <v>0</v>
      </c>
      <c r="E221" s="32">
        <v>1810500</v>
      </c>
      <c r="F221" s="29">
        <v>2154495</v>
      </c>
      <c r="G221" s="32">
        <v>0</v>
      </c>
      <c r="H221" s="29">
        <v>0</v>
      </c>
    </row>
    <row r="222" spans="1:8" x14ac:dyDescent="0.25">
      <c r="A222" s="3" t="s">
        <v>455</v>
      </c>
      <c r="B222" s="3" t="s">
        <v>456</v>
      </c>
      <c r="C222" s="4">
        <v>756192</v>
      </c>
      <c r="D222" s="29">
        <v>0</v>
      </c>
      <c r="E222" s="32">
        <v>756192</v>
      </c>
      <c r="F222" s="29">
        <v>899868.48</v>
      </c>
      <c r="G222" s="32">
        <v>0</v>
      </c>
      <c r="H222" s="29">
        <v>0</v>
      </c>
    </row>
    <row r="223" spans="1:8" x14ac:dyDescent="0.25">
      <c r="A223" s="3" t="s">
        <v>457</v>
      </c>
      <c r="B223" s="3" t="s">
        <v>458</v>
      </c>
      <c r="C223" s="4">
        <v>53878366</v>
      </c>
      <c r="D223" s="29">
        <v>2992630</v>
      </c>
      <c r="E223" s="32">
        <v>80204322</v>
      </c>
      <c r="F223" s="29">
        <v>95329808.180000007</v>
      </c>
      <c r="G223" s="32">
        <v>441561</v>
      </c>
      <c r="H223" s="29">
        <v>441561</v>
      </c>
    </row>
    <row r="224" spans="1:8" x14ac:dyDescent="0.25">
      <c r="A224" s="3" t="s">
        <v>459</v>
      </c>
      <c r="B224" s="3" t="s">
        <v>460</v>
      </c>
      <c r="C224" s="4">
        <v>20885399</v>
      </c>
      <c r="D224" s="29">
        <v>0</v>
      </c>
      <c r="E224" s="32">
        <v>42499763</v>
      </c>
      <c r="F224" s="29">
        <v>50574717.969999999</v>
      </c>
      <c r="G224" s="32">
        <v>390910</v>
      </c>
      <c r="H224" s="29">
        <v>390910</v>
      </c>
    </row>
    <row r="225" spans="1:8" x14ac:dyDescent="0.25">
      <c r="A225" s="3" t="s">
        <v>461</v>
      </c>
      <c r="B225" s="3" t="s">
        <v>462</v>
      </c>
      <c r="C225" s="4">
        <v>1126825</v>
      </c>
      <c r="D225" s="29">
        <v>0</v>
      </c>
      <c r="E225" s="32">
        <v>1126825</v>
      </c>
      <c r="F225" s="29">
        <v>1340921.75</v>
      </c>
      <c r="G225" s="32">
        <v>0</v>
      </c>
      <c r="H225" s="29">
        <v>0</v>
      </c>
    </row>
    <row r="226" spans="1:8" x14ac:dyDescent="0.25">
      <c r="A226" s="3" t="s">
        <v>463</v>
      </c>
      <c r="B226" s="3" t="s">
        <v>464</v>
      </c>
      <c r="C226" s="4">
        <v>218559010.5</v>
      </c>
      <c r="D226" s="29">
        <v>939800</v>
      </c>
      <c r="E226" s="32">
        <v>205210850</v>
      </c>
      <c r="F226" s="29">
        <v>244187894.59999999</v>
      </c>
      <c r="G226" s="32">
        <v>18691098</v>
      </c>
      <c r="H226" s="29">
        <v>18691098</v>
      </c>
    </row>
    <row r="227" spans="1:8" x14ac:dyDescent="0.25">
      <c r="A227" s="3" t="s">
        <v>465</v>
      </c>
      <c r="B227" s="3" t="s">
        <v>466</v>
      </c>
      <c r="C227" s="4">
        <v>5899</v>
      </c>
      <c r="D227" s="29">
        <v>0</v>
      </c>
      <c r="E227" s="32">
        <v>5899</v>
      </c>
      <c r="F227" s="29">
        <v>7019.81</v>
      </c>
      <c r="G227" s="32">
        <v>0</v>
      </c>
      <c r="H227" s="29">
        <v>0</v>
      </c>
    </row>
    <row r="228" spans="1:8" x14ac:dyDescent="0.25">
      <c r="A228" s="3" t="s">
        <v>467</v>
      </c>
      <c r="B228" s="3" t="s">
        <v>468</v>
      </c>
      <c r="C228" s="4">
        <v>3435000</v>
      </c>
      <c r="D228" s="29">
        <v>0</v>
      </c>
      <c r="E228" s="32">
        <v>0</v>
      </c>
      <c r="F228" s="29">
        <v>0</v>
      </c>
      <c r="G228" s="32">
        <v>0</v>
      </c>
      <c r="H228" s="29">
        <v>0</v>
      </c>
    </row>
    <row r="229" spans="1:8" x14ac:dyDescent="0.25">
      <c r="A229" s="3" t="s">
        <v>469</v>
      </c>
      <c r="B229" s="3" t="s">
        <v>470</v>
      </c>
      <c r="C229" s="4">
        <v>631720</v>
      </c>
      <c r="D229" s="29">
        <v>0</v>
      </c>
      <c r="E229" s="32">
        <v>631720</v>
      </c>
      <c r="F229" s="29">
        <v>751746.8</v>
      </c>
      <c r="G229" s="32">
        <v>578261</v>
      </c>
      <c r="H229" s="29">
        <v>688130.59</v>
      </c>
    </row>
    <row r="230" spans="1:8" x14ac:dyDescent="0.25">
      <c r="A230" s="3" t="s">
        <v>471</v>
      </c>
      <c r="B230" s="3" t="s">
        <v>472</v>
      </c>
      <c r="C230" s="4">
        <v>4737169</v>
      </c>
      <c r="D230" s="29">
        <v>0</v>
      </c>
      <c r="E230" s="32">
        <v>4737169</v>
      </c>
      <c r="F230" s="29">
        <v>5637231.1100000003</v>
      </c>
      <c r="G230" s="32">
        <v>0</v>
      </c>
      <c r="H230" s="29">
        <v>0</v>
      </c>
    </row>
    <row r="231" spans="1:8" x14ac:dyDescent="0.25">
      <c r="A231" s="3" t="s">
        <v>473</v>
      </c>
      <c r="B231" s="3" t="s">
        <v>474</v>
      </c>
      <c r="C231" s="4">
        <v>3190685</v>
      </c>
      <c r="D231" s="29">
        <v>0</v>
      </c>
      <c r="E231" s="32">
        <v>3190685</v>
      </c>
      <c r="F231" s="29">
        <v>3796915.15</v>
      </c>
      <c r="G231" s="32">
        <v>0</v>
      </c>
      <c r="H231" s="29">
        <v>0</v>
      </c>
    </row>
    <row r="232" spans="1:8" x14ac:dyDescent="0.25">
      <c r="A232" s="3" t="s">
        <v>475</v>
      </c>
      <c r="B232" s="3" t="s">
        <v>476</v>
      </c>
      <c r="C232" s="4">
        <v>980400</v>
      </c>
      <c r="D232" s="29">
        <v>0</v>
      </c>
      <c r="E232" s="32">
        <v>980400</v>
      </c>
      <c r="F232" s="29">
        <v>1166676</v>
      </c>
      <c r="G232" s="32">
        <v>0</v>
      </c>
      <c r="H232" s="29">
        <v>0</v>
      </c>
    </row>
    <row r="233" spans="1:8" x14ac:dyDescent="0.25">
      <c r="A233" s="3" t="s">
        <v>477</v>
      </c>
      <c r="B233" s="3" t="s">
        <v>478</v>
      </c>
      <c r="C233" s="4">
        <v>84379</v>
      </c>
      <c r="D233" s="29">
        <v>0</v>
      </c>
      <c r="E233" s="32">
        <v>64747</v>
      </c>
      <c r="F233" s="29">
        <v>77048.929999999993</v>
      </c>
      <c r="G233" s="32">
        <v>0</v>
      </c>
      <c r="H233" s="29">
        <v>0</v>
      </c>
    </row>
    <row r="234" spans="1:8" x14ac:dyDescent="0.25">
      <c r="A234" s="3" t="s">
        <v>479</v>
      </c>
      <c r="B234" s="3" t="s">
        <v>480</v>
      </c>
      <c r="C234" s="4">
        <v>44832972</v>
      </c>
      <c r="D234" s="29">
        <v>1127248</v>
      </c>
      <c r="E234" s="32">
        <v>29615802</v>
      </c>
      <c r="F234" s="29">
        <v>35242804.380000003</v>
      </c>
      <c r="G234" s="32">
        <v>0</v>
      </c>
      <c r="H234" s="29">
        <v>0</v>
      </c>
    </row>
    <row r="235" spans="1:8" x14ac:dyDescent="0.25">
      <c r="A235" s="3" t="s">
        <v>481</v>
      </c>
      <c r="B235" s="3" t="s">
        <v>482</v>
      </c>
      <c r="C235" s="4">
        <v>0</v>
      </c>
      <c r="D235" s="29">
        <v>0</v>
      </c>
      <c r="E235" s="32">
        <v>31601885</v>
      </c>
      <c r="F235" s="29">
        <v>37606243.149999999</v>
      </c>
      <c r="G235" s="32">
        <v>0</v>
      </c>
      <c r="H235" s="29">
        <v>0</v>
      </c>
    </row>
    <row r="236" spans="1:8" x14ac:dyDescent="0.25">
      <c r="A236" s="3" t="s">
        <v>483</v>
      </c>
      <c r="B236" s="3" t="s">
        <v>484</v>
      </c>
      <c r="C236" s="4">
        <v>2086210</v>
      </c>
      <c r="D236" s="29">
        <v>0</v>
      </c>
      <c r="E236" s="32">
        <v>2086210</v>
      </c>
      <c r="F236" s="29">
        <v>2482589.9</v>
      </c>
      <c r="G236" s="32">
        <v>1647310</v>
      </c>
      <c r="H236" s="29">
        <v>1960298.9</v>
      </c>
    </row>
    <row r="237" spans="1:8" x14ac:dyDescent="0.25">
      <c r="A237" s="3" t="s">
        <v>485</v>
      </c>
      <c r="B237" s="3" t="s">
        <v>486</v>
      </c>
      <c r="C237" s="4">
        <v>23206991.5</v>
      </c>
      <c r="D237" s="29">
        <v>0</v>
      </c>
      <c r="E237" s="32">
        <v>19041028</v>
      </c>
      <c r="F237" s="29">
        <v>22658823.32</v>
      </c>
      <c r="G237" s="32">
        <v>610334</v>
      </c>
      <c r="H237" s="29">
        <v>610334</v>
      </c>
    </row>
    <row r="238" spans="1:8" x14ac:dyDescent="0.25">
      <c r="A238" s="3" t="s">
        <v>487</v>
      </c>
      <c r="B238" s="3" t="s">
        <v>488</v>
      </c>
      <c r="C238" s="4">
        <v>19215300</v>
      </c>
      <c r="D238" s="29">
        <v>2188640</v>
      </c>
      <c r="E238" s="32">
        <v>16994060</v>
      </c>
      <c r="F238" s="29">
        <v>20222931.399999999</v>
      </c>
      <c r="G238" s="32">
        <v>0</v>
      </c>
      <c r="H238" s="29">
        <v>0</v>
      </c>
    </row>
    <row r="239" spans="1:8" x14ac:dyDescent="0.25">
      <c r="A239" s="3" t="s">
        <v>489</v>
      </c>
      <c r="B239" s="3" t="s">
        <v>490</v>
      </c>
      <c r="C239" s="4">
        <v>2655867</v>
      </c>
      <c r="D239" s="29">
        <v>0</v>
      </c>
      <c r="E239" s="32">
        <v>2655867</v>
      </c>
      <c r="F239" s="29">
        <v>3160481.73</v>
      </c>
      <c r="G239" s="32">
        <v>115130</v>
      </c>
      <c r="H239" s="29">
        <v>137004.70000000001</v>
      </c>
    </row>
    <row r="240" spans="1:8" x14ac:dyDescent="0.25">
      <c r="A240" s="3" t="s">
        <v>491</v>
      </c>
      <c r="B240" s="3" t="s">
        <v>492</v>
      </c>
      <c r="C240" s="4">
        <v>18629496</v>
      </c>
      <c r="D240" s="29">
        <v>0</v>
      </c>
      <c r="E240" s="32">
        <v>21317360</v>
      </c>
      <c r="F240" s="29">
        <v>25367658.399999999</v>
      </c>
      <c r="G240" s="32">
        <v>132911</v>
      </c>
      <c r="H240" s="29">
        <v>132911</v>
      </c>
    </row>
    <row r="241" spans="1:8" x14ac:dyDescent="0.25">
      <c r="A241" s="3" t="s">
        <v>493</v>
      </c>
      <c r="B241" s="3" t="s">
        <v>494</v>
      </c>
      <c r="C241" s="4">
        <v>1715020</v>
      </c>
      <c r="D241" s="29">
        <v>0</v>
      </c>
      <c r="E241" s="32">
        <v>1715020</v>
      </c>
      <c r="F241" s="29">
        <v>2040873.8</v>
      </c>
      <c r="G241" s="32">
        <v>0</v>
      </c>
      <c r="H241" s="29">
        <v>0</v>
      </c>
    </row>
    <row r="242" spans="1:8" x14ac:dyDescent="0.25">
      <c r="A242" s="3" t="s">
        <v>495</v>
      </c>
      <c r="B242" s="3" t="s">
        <v>496</v>
      </c>
      <c r="C242" s="4">
        <v>6833165.7000000002</v>
      </c>
      <c r="D242" s="29">
        <v>0</v>
      </c>
      <c r="E242" s="32">
        <v>6433017</v>
      </c>
      <c r="F242" s="29">
        <v>7655290.2300000004</v>
      </c>
      <c r="G242" s="32">
        <v>0</v>
      </c>
      <c r="H242" s="29">
        <v>0</v>
      </c>
    </row>
    <row r="243" spans="1:8" x14ac:dyDescent="0.25">
      <c r="A243" s="3" t="s">
        <v>497</v>
      </c>
      <c r="B243" s="3" t="s">
        <v>498</v>
      </c>
      <c r="C243" s="4">
        <v>8109459</v>
      </c>
      <c r="D243" s="29">
        <v>0</v>
      </c>
      <c r="E243" s="32">
        <v>8109459</v>
      </c>
      <c r="F243" s="29">
        <v>9650256.2100000009</v>
      </c>
      <c r="G243" s="32">
        <v>823182</v>
      </c>
      <c r="H243" s="29">
        <v>843906.06</v>
      </c>
    </row>
    <row r="244" spans="1:8" x14ac:dyDescent="0.25">
      <c r="A244" s="3" t="s">
        <v>499</v>
      </c>
      <c r="B244" s="3" t="s">
        <v>500</v>
      </c>
      <c r="C244" s="4">
        <v>925665</v>
      </c>
      <c r="D244" s="29">
        <v>0</v>
      </c>
      <c r="E244" s="32">
        <v>925665</v>
      </c>
      <c r="F244" s="29">
        <v>1101541.3500000001</v>
      </c>
      <c r="G244" s="32">
        <v>0</v>
      </c>
      <c r="H244" s="29">
        <v>0</v>
      </c>
    </row>
    <row r="245" spans="1:8" x14ac:dyDescent="0.25">
      <c r="A245" s="3" t="s">
        <v>501</v>
      </c>
      <c r="B245" s="3" t="s">
        <v>502</v>
      </c>
      <c r="C245" s="4">
        <v>15312</v>
      </c>
      <c r="D245" s="29">
        <v>0</v>
      </c>
      <c r="E245" s="32">
        <v>15312</v>
      </c>
      <c r="F245" s="29">
        <v>18221.28</v>
      </c>
      <c r="G245" s="32">
        <v>0</v>
      </c>
      <c r="H245" s="29">
        <v>0</v>
      </c>
    </row>
    <row r="246" spans="1:8" x14ac:dyDescent="0.25">
      <c r="A246" s="3" t="s">
        <v>503</v>
      </c>
      <c r="B246" s="3" t="s">
        <v>504</v>
      </c>
      <c r="C246" s="4">
        <v>262976935.56</v>
      </c>
      <c r="D246" s="29">
        <v>18098956</v>
      </c>
      <c r="E246" s="32">
        <v>163711180</v>
      </c>
      <c r="F246" s="29">
        <v>194805873.19999999</v>
      </c>
      <c r="G246" s="32">
        <v>17266138</v>
      </c>
      <c r="H246" s="29">
        <v>17442796.199999999</v>
      </c>
    </row>
    <row r="247" spans="1:8" x14ac:dyDescent="0.25">
      <c r="A247" s="3" t="s">
        <v>505</v>
      </c>
      <c r="B247" s="3" t="s">
        <v>506</v>
      </c>
      <c r="C247" s="4">
        <v>0</v>
      </c>
      <c r="D247" s="29">
        <v>0</v>
      </c>
      <c r="E247" s="32">
        <v>68313800</v>
      </c>
      <c r="F247" s="29">
        <v>81293422</v>
      </c>
      <c r="G247" s="32">
        <v>0</v>
      </c>
      <c r="H247" s="29">
        <v>0</v>
      </c>
    </row>
    <row r="248" spans="1:8" x14ac:dyDescent="0.25">
      <c r="A248" s="3" t="s">
        <v>507</v>
      </c>
      <c r="B248" s="3" t="s">
        <v>508</v>
      </c>
      <c r="C248" s="4">
        <v>2799816</v>
      </c>
      <c r="D248" s="29">
        <v>0</v>
      </c>
      <c r="E248" s="32">
        <v>6403006</v>
      </c>
      <c r="F248" s="29">
        <v>7619577.1399999997</v>
      </c>
      <c r="G248" s="32">
        <v>252874</v>
      </c>
      <c r="H248" s="29">
        <v>252874</v>
      </c>
    </row>
    <row r="249" spans="1:8" x14ac:dyDescent="0.25">
      <c r="A249" s="3" t="s">
        <v>509</v>
      </c>
      <c r="B249" s="3" t="s">
        <v>510</v>
      </c>
      <c r="C249" s="4">
        <v>55584</v>
      </c>
      <c r="D249" s="29">
        <v>0</v>
      </c>
      <c r="E249" s="32">
        <v>27792</v>
      </c>
      <c r="F249" s="29">
        <v>33072.480000000003</v>
      </c>
      <c r="G249" s="32">
        <v>0</v>
      </c>
      <c r="H249" s="29">
        <v>0</v>
      </c>
    </row>
    <row r="250" spans="1:8" x14ac:dyDescent="0.25">
      <c r="A250" s="3" t="s">
        <v>511</v>
      </c>
      <c r="B250" s="3" t="s">
        <v>512</v>
      </c>
      <c r="C250" s="4">
        <v>988086</v>
      </c>
      <c r="D250" s="29">
        <v>0</v>
      </c>
      <c r="E250" s="32">
        <v>280500</v>
      </c>
      <c r="F250" s="29">
        <v>333795</v>
      </c>
      <c r="G250" s="32">
        <v>0</v>
      </c>
      <c r="H250" s="29">
        <v>0</v>
      </c>
    </row>
    <row r="251" spans="1:8" x14ac:dyDescent="0.25">
      <c r="A251" s="3" t="s">
        <v>513</v>
      </c>
      <c r="B251" s="3" t="s">
        <v>514</v>
      </c>
      <c r="C251" s="4">
        <v>40243013.020000003</v>
      </c>
      <c r="D251" s="29">
        <v>0</v>
      </c>
      <c r="E251" s="32">
        <v>47787711</v>
      </c>
      <c r="F251" s="29">
        <v>56867376.090000004</v>
      </c>
      <c r="G251" s="32">
        <v>2148271</v>
      </c>
      <c r="H251" s="29">
        <v>2148271</v>
      </c>
    </row>
    <row r="252" spans="1:8" x14ac:dyDescent="0.25">
      <c r="A252" s="3" t="s">
        <v>515</v>
      </c>
      <c r="B252" s="3" t="s">
        <v>516</v>
      </c>
      <c r="C252" s="4">
        <v>35758662</v>
      </c>
      <c r="D252" s="29">
        <v>274700</v>
      </c>
      <c r="E252" s="32">
        <v>29813622</v>
      </c>
      <c r="F252" s="29">
        <v>35478210.18</v>
      </c>
      <c r="G252" s="32">
        <v>901047</v>
      </c>
      <c r="H252" s="29">
        <v>901047</v>
      </c>
    </row>
    <row r="253" spans="1:8" x14ac:dyDescent="0.25">
      <c r="A253" s="3" t="s">
        <v>517</v>
      </c>
      <c r="B253" s="3" t="s">
        <v>518</v>
      </c>
      <c r="C253" s="4">
        <v>460800</v>
      </c>
      <c r="D253" s="29">
        <v>0</v>
      </c>
      <c r="E253" s="32">
        <v>460800</v>
      </c>
      <c r="F253" s="29">
        <v>548352</v>
      </c>
      <c r="G253" s="32">
        <v>0</v>
      </c>
      <c r="H253" s="29">
        <v>0</v>
      </c>
    </row>
    <row r="254" spans="1:8" x14ac:dyDescent="0.25">
      <c r="A254" s="3" t="s">
        <v>519</v>
      </c>
      <c r="B254" s="3" t="s">
        <v>520</v>
      </c>
      <c r="C254" s="4">
        <v>8242733.0099999998</v>
      </c>
      <c r="D254" s="29">
        <v>0</v>
      </c>
      <c r="E254" s="32">
        <v>7883523</v>
      </c>
      <c r="F254" s="29">
        <v>9381392.3699999992</v>
      </c>
      <c r="G254" s="32">
        <v>0</v>
      </c>
      <c r="H254" s="29">
        <v>0</v>
      </c>
    </row>
    <row r="255" spans="1:8" x14ac:dyDescent="0.25">
      <c r="A255" s="3" t="s">
        <v>521</v>
      </c>
      <c r="B255" s="3" t="s">
        <v>522</v>
      </c>
      <c r="C255" s="4">
        <v>103785</v>
      </c>
      <c r="D255" s="29">
        <v>0</v>
      </c>
      <c r="E255" s="32">
        <v>103785</v>
      </c>
      <c r="F255" s="29">
        <v>123504.15</v>
      </c>
      <c r="G255" s="32">
        <v>0</v>
      </c>
      <c r="H255" s="29">
        <v>0</v>
      </c>
    </row>
    <row r="256" spans="1:8" x14ac:dyDescent="0.25">
      <c r="A256" s="3" t="s">
        <v>523</v>
      </c>
      <c r="B256" s="3" t="s">
        <v>524</v>
      </c>
      <c r="C256" s="4">
        <v>17632381.030000001</v>
      </c>
      <c r="D256" s="29">
        <v>0</v>
      </c>
      <c r="E256" s="32">
        <v>19083971</v>
      </c>
      <c r="F256" s="29">
        <v>22709925.489999998</v>
      </c>
      <c r="G256" s="32">
        <v>0</v>
      </c>
      <c r="H256" s="29">
        <v>0</v>
      </c>
    </row>
    <row r="257" spans="1:8" x14ac:dyDescent="0.25">
      <c r="A257" s="3" t="s">
        <v>525</v>
      </c>
      <c r="B257" s="3" t="s">
        <v>526</v>
      </c>
      <c r="C257" s="4">
        <v>466366</v>
      </c>
      <c r="D257" s="29">
        <v>0</v>
      </c>
      <c r="E257" s="32">
        <v>466366</v>
      </c>
      <c r="F257" s="29">
        <v>554975.54</v>
      </c>
      <c r="G257" s="32">
        <v>567011</v>
      </c>
      <c r="H257" s="29">
        <v>598921.5</v>
      </c>
    </row>
    <row r="258" spans="1:8" x14ac:dyDescent="0.25">
      <c r="A258" s="3" t="s">
        <v>527</v>
      </c>
      <c r="B258" s="3" t="s">
        <v>528</v>
      </c>
      <c r="C258" s="4">
        <v>817300</v>
      </c>
      <c r="D258" s="29">
        <v>0</v>
      </c>
      <c r="E258" s="32">
        <v>817300</v>
      </c>
      <c r="F258" s="29">
        <v>972587</v>
      </c>
      <c r="G258" s="32">
        <v>0</v>
      </c>
      <c r="H258" s="29">
        <v>0</v>
      </c>
    </row>
    <row r="259" spans="1:8" x14ac:dyDescent="0.25">
      <c r="A259" s="3" t="s">
        <v>529</v>
      </c>
      <c r="B259" s="3" t="s">
        <v>530</v>
      </c>
      <c r="C259" s="4">
        <v>2561321</v>
      </c>
      <c r="D259" s="29">
        <v>0</v>
      </c>
      <c r="E259" s="32">
        <v>2561321</v>
      </c>
      <c r="F259" s="29">
        <v>3047971.99</v>
      </c>
      <c r="G259" s="32">
        <v>126236</v>
      </c>
      <c r="H259" s="29">
        <v>128126.69</v>
      </c>
    </row>
    <row r="260" spans="1:8" x14ac:dyDescent="0.25">
      <c r="A260" s="3" t="s">
        <v>531</v>
      </c>
      <c r="B260" s="3" t="s">
        <v>532</v>
      </c>
      <c r="C260" s="4">
        <v>5229408</v>
      </c>
      <c r="D260" s="29">
        <v>0</v>
      </c>
      <c r="E260" s="32">
        <v>0</v>
      </c>
      <c r="F260" s="29">
        <v>0</v>
      </c>
      <c r="G260" s="32">
        <v>0</v>
      </c>
      <c r="H260" s="29">
        <v>0</v>
      </c>
    </row>
    <row r="261" spans="1:8" x14ac:dyDescent="0.25">
      <c r="A261" s="3" t="s">
        <v>533</v>
      </c>
      <c r="B261" s="3" t="s">
        <v>534</v>
      </c>
      <c r="C261" s="4">
        <v>23511619</v>
      </c>
      <c r="D261" s="29">
        <v>0</v>
      </c>
      <c r="E261" s="32">
        <v>40528930</v>
      </c>
      <c r="F261" s="29">
        <v>48229426.700000003</v>
      </c>
      <c r="G261" s="32">
        <v>1349002</v>
      </c>
      <c r="H261" s="29">
        <v>1373664</v>
      </c>
    </row>
    <row r="262" spans="1:8" x14ac:dyDescent="0.25">
      <c r="A262" s="3" t="s">
        <v>535</v>
      </c>
      <c r="B262" s="3" t="s">
        <v>536</v>
      </c>
      <c r="C262" s="4">
        <v>7387004</v>
      </c>
      <c r="D262" s="29">
        <v>0</v>
      </c>
      <c r="E262" s="32">
        <v>7387004</v>
      </c>
      <c r="F262" s="29">
        <v>8790534.7599999998</v>
      </c>
      <c r="G262" s="32">
        <v>0</v>
      </c>
      <c r="H262" s="29">
        <v>0</v>
      </c>
    </row>
    <row r="263" spans="1:8" x14ac:dyDescent="0.25">
      <c r="A263" s="3" t="s">
        <v>537</v>
      </c>
      <c r="B263" s="3" t="s">
        <v>538</v>
      </c>
      <c r="C263" s="4">
        <v>13921727</v>
      </c>
      <c r="D263" s="29">
        <v>600</v>
      </c>
      <c r="E263" s="32">
        <v>13704957</v>
      </c>
      <c r="F263" s="29">
        <v>16300405.83</v>
      </c>
      <c r="G263" s="32">
        <v>0</v>
      </c>
      <c r="H263" s="29">
        <v>0</v>
      </c>
    </row>
    <row r="264" spans="1:8" x14ac:dyDescent="0.25">
      <c r="A264" s="3" t="s">
        <v>539</v>
      </c>
      <c r="B264" s="3" t="s">
        <v>540</v>
      </c>
      <c r="C264" s="4">
        <v>1821401</v>
      </c>
      <c r="D264" s="29">
        <v>0</v>
      </c>
      <c r="E264" s="32">
        <v>1821401</v>
      </c>
      <c r="F264" s="29">
        <v>2167467.19</v>
      </c>
      <c r="G264" s="32">
        <v>0</v>
      </c>
      <c r="H264" s="29">
        <v>0</v>
      </c>
    </row>
    <row r="265" spans="1:8" x14ac:dyDescent="0.25">
      <c r="A265" s="3" t="s">
        <v>541</v>
      </c>
      <c r="B265" s="3" t="s">
        <v>542</v>
      </c>
      <c r="C265" s="4">
        <v>43436591</v>
      </c>
      <c r="D265" s="29">
        <v>0</v>
      </c>
      <c r="E265" s="32">
        <v>36658991</v>
      </c>
      <c r="F265" s="29">
        <v>43624199.289999999</v>
      </c>
      <c r="G265" s="32">
        <v>331672</v>
      </c>
      <c r="H265" s="29">
        <v>331672</v>
      </c>
    </row>
    <row r="266" spans="1:8" x14ac:dyDescent="0.25">
      <c r="A266" s="3" t="s">
        <v>543</v>
      </c>
      <c r="B266" s="3" t="s">
        <v>544</v>
      </c>
      <c r="C266" s="4">
        <v>25818762</v>
      </c>
      <c r="D266" s="29">
        <v>0</v>
      </c>
      <c r="E266" s="32">
        <v>25350762</v>
      </c>
      <c r="F266" s="29">
        <v>30167406.780000001</v>
      </c>
      <c r="G266" s="32">
        <v>254926</v>
      </c>
      <c r="H266" s="29">
        <v>254926</v>
      </c>
    </row>
    <row r="267" spans="1:8" x14ac:dyDescent="0.25">
      <c r="A267" s="3" t="s">
        <v>545</v>
      </c>
      <c r="B267" s="3" t="s">
        <v>546</v>
      </c>
      <c r="C267" s="4">
        <v>8924212</v>
      </c>
      <c r="D267" s="29">
        <v>0</v>
      </c>
      <c r="E267" s="32">
        <v>9090012</v>
      </c>
      <c r="F267" s="29">
        <v>10817114.279999999</v>
      </c>
      <c r="G267" s="32">
        <v>0</v>
      </c>
      <c r="H267" s="29">
        <v>0</v>
      </c>
    </row>
    <row r="268" spans="1:8" x14ac:dyDescent="0.25">
      <c r="A268" s="3" t="s">
        <v>547</v>
      </c>
      <c r="B268" s="3" t="s">
        <v>548</v>
      </c>
      <c r="C268" s="4">
        <v>268625</v>
      </c>
      <c r="D268" s="29">
        <v>0</v>
      </c>
      <c r="E268" s="32">
        <v>268625</v>
      </c>
      <c r="F268" s="29">
        <v>319663.75</v>
      </c>
      <c r="G268" s="32">
        <v>0</v>
      </c>
      <c r="H268" s="29">
        <v>0</v>
      </c>
    </row>
    <row r="269" spans="1:8" x14ac:dyDescent="0.25">
      <c r="A269" s="3" t="s">
        <v>549</v>
      </c>
      <c r="B269" s="3" t="s">
        <v>550</v>
      </c>
      <c r="C269" s="4">
        <v>56981806.649999999</v>
      </c>
      <c r="D269" s="29">
        <v>0</v>
      </c>
      <c r="E269" s="32">
        <v>42836991</v>
      </c>
      <c r="F269" s="29">
        <v>50976019.289999999</v>
      </c>
      <c r="G269" s="32">
        <v>4248968</v>
      </c>
      <c r="H269" s="29">
        <v>4248968</v>
      </c>
    </row>
    <row r="270" spans="1:8" x14ac:dyDescent="0.25">
      <c r="A270" s="3" t="s">
        <v>551</v>
      </c>
      <c r="B270" s="3" t="s">
        <v>552</v>
      </c>
      <c r="C270" s="4">
        <v>5363275</v>
      </c>
      <c r="D270" s="29">
        <v>0</v>
      </c>
      <c r="E270" s="32">
        <v>5363275</v>
      </c>
      <c r="F270" s="29">
        <v>6382297.25</v>
      </c>
      <c r="G270" s="32">
        <v>0</v>
      </c>
      <c r="H270" s="29">
        <v>0</v>
      </c>
    </row>
    <row r="271" spans="1:8" x14ac:dyDescent="0.25">
      <c r="A271" s="3" t="s">
        <v>553</v>
      </c>
      <c r="B271" s="3" t="s">
        <v>554</v>
      </c>
      <c r="C271" s="4">
        <v>82754788.319999993</v>
      </c>
      <c r="D271" s="29">
        <v>0</v>
      </c>
      <c r="E271" s="32">
        <v>81784630.959999993</v>
      </c>
      <c r="F271" s="29">
        <v>97323710.840000004</v>
      </c>
      <c r="G271" s="32">
        <v>0</v>
      </c>
      <c r="H271" s="29">
        <v>0</v>
      </c>
    </row>
    <row r="272" spans="1:8" x14ac:dyDescent="0.25">
      <c r="A272" s="3" t="s">
        <v>555</v>
      </c>
      <c r="B272" s="3" t="s">
        <v>556</v>
      </c>
      <c r="C272" s="4">
        <v>324576</v>
      </c>
      <c r="D272" s="29">
        <v>0</v>
      </c>
      <c r="E272" s="32">
        <v>324576</v>
      </c>
      <c r="F272" s="29">
        <v>386245.44</v>
      </c>
      <c r="G272" s="32">
        <v>0</v>
      </c>
      <c r="H272" s="29">
        <v>0</v>
      </c>
    </row>
    <row r="273" spans="1:8" x14ac:dyDescent="0.25">
      <c r="A273" s="3" t="s">
        <v>557</v>
      </c>
      <c r="B273" s="3" t="s">
        <v>558</v>
      </c>
      <c r="C273" s="4">
        <v>104920250</v>
      </c>
      <c r="D273" s="29">
        <v>0</v>
      </c>
      <c r="E273" s="32">
        <v>44413520</v>
      </c>
      <c r="F273" s="29">
        <v>52820662.799999997</v>
      </c>
      <c r="G273" s="32">
        <v>753060</v>
      </c>
      <c r="H273" s="29">
        <v>753060</v>
      </c>
    </row>
    <row r="274" spans="1:8" x14ac:dyDescent="0.25">
      <c r="A274" s="3" t="s">
        <v>559</v>
      </c>
      <c r="B274" s="3" t="s">
        <v>560</v>
      </c>
      <c r="C274" s="4">
        <v>33247582</v>
      </c>
      <c r="D274" s="29">
        <v>0</v>
      </c>
      <c r="E274" s="32">
        <v>51028922</v>
      </c>
      <c r="F274" s="29">
        <v>60702759.079999998</v>
      </c>
      <c r="G274" s="32">
        <v>2281709</v>
      </c>
      <c r="H274" s="29">
        <v>2399338</v>
      </c>
    </row>
    <row r="275" spans="1:8" x14ac:dyDescent="0.25">
      <c r="A275" s="3" t="s">
        <v>561</v>
      </c>
      <c r="B275" s="3" t="s">
        <v>562</v>
      </c>
      <c r="C275" s="4">
        <v>58619227.399999999</v>
      </c>
      <c r="D275" s="29">
        <v>4746100</v>
      </c>
      <c r="E275" s="32">
        <v>56904731</v>
      </c>
      <c r="F275" s="29">
        <v>67716629.890000001</v>
      </c>
      <c r="G275" s="32">
        <v>4554323</v>
      </c>
      <c r="H275" s="29">
        <v>4554323</v>
      </c>
    </row>
    <row r="276" spans="1:8" x14ac:dyDescent="0.25">
      <c r="A276" s="3" t="s">
        <v>563</v>
      </c>
      <c r="B276" s="3" t="s">
        <v>564</v>
      </c>
      <c r="C276" s="4">
        <v>15391</v>
      </c>
      <c r="D276" s="29">
        <v>0</v>
      </c>
      <c r="E276" s="32">
        <v>15391</v>
      </c>
      <c r="F276" s="29">
        <v>18315.29</v>
      </c>
      <c r="G276" s="32">
        <v>0</v>
      </c>
      <c r="H276" s="29">
        <v>0</v>
      </c>
    </row>
    <row r="277" spans="1:8" x14ac:dyDescent="0.25">
      <c r="A277" s="3" t="s">
        <v>565</v>
      </c>
      <c r="B277" s="3" t="s">
        <v>566</v>
      </c>
      <c r="C277" s="4">
        <v>38587332.899999999</v>
      </c>
      <c r="D277" s="29">
        <v>0</v>
      </c>
      <c r="E277" s="32">
        <v>37536554.200000003</v>
      </c>
      <c r="F277" s="29">
        <v>44668499.5</v>
      </c>
      <c r="G277" s="32">
        <v>106334</v>
      </c>
      <c r="H277" s="29">
        <v>106334</v>
      </c>
    </row>
    <row r="278" spans="1:8" x14ac:dyDescent="0.25">
      <c r="A278" s="3" t="s">
        <v>567</v>
      </c>
      <c r="B278" s="3" t="s">
        <v>568</v>
      </c>
      <c r="C278" s="4">
        <v>1256385</v>
      </c>
      <c r="D278" s="29">
        <v>0</v>
      </c>
      <c r="E278" s="32">
        <v>1256385</v>
      </c>
      <c r="F278" s="29">
        <v>1495098.15</v>
      </c>
      <c r="G278" s="32">
        <v>0</v>
      </c>
      <c r="H278" s="29">
        <v>0</v>
      </c>
    </row>
    <row r="279" spans="1:8" x14ac:dyDescent="0.25">
      <c r="A279" s="3" t="s">
        <v>569</v>
      </c>
      <c r="B279" s="3" t="s">
        <v>570</v>
      </c>
      <c r="C279" s="4">
        <v>238500</v>
      </c>
      <c r="D279" s="29">
        <v>0</v>
      </c>
      <c r="E279" s="32">
        <v>238500</v>
      </c>
      <c r="F279" s="29">
        <v>283815</v>
      </c>
      <c r="G279" s="32">
        <v>0</v>
      </c>
      <c r="H279" s="29">
        <v>0</v>
      </c>
    </row>
    <row r="280" spans="1:8" x14ac:dyDescent="0.25">
      <c r="A280" s="3" t="s">
        <v>571</v>
      </c>
      <c r="B280" s="3" t="s">
        <v>572</v>
      </c>
      <c r="C280" s="4">
        <v>467928</v>
      </c>
      <c r="D280" s="29">
        <v>0</v>
      </c>
      <c r="E280" s="32">
        <v>467928</v>
      </c>
      <c r="F280" s="29">
        <v>556834.31999999995</v>
      </c>
      <c r="G280" s="32">
        <v>0</v>
      </c>
      <c r="H280" s="29">
        <v>0</v>
      </c>
    </row>
    <row r="281" spans="1:8" x14ac:dyDescent="0.25">
      <c r="A281" s="3" t="s">
        <v>573</v>
      </c>
      <c r="B281" s="3" t="s">
        <v>574</v>
      </c>
      <c r="C281" s="4">
        <v>560192</v>
      </c>
      <c r="D281" s="29">
        <v>0</v>
      </c>
      <c r="E281" s="32">
        <v>560192</v>
      </c>
      <c r="F281" s="29">
        <v>666628.48</v>
      </c>
      <c r="G281" s="32">
        <v>0</v>
      </c>
      <c r="H281" s="29">
        <v>0</v>
      </c>
    </row>
    <row r="282" spans="1:8" x14ac:dyDescent="0.25">
      <c r="A282" s="3" t="s">
        <v>575</v>
      </c>
      <c r="B282" s="3" t="s">
        <v>576</v>
      </c>
      <c r="C282" s="4">
        <v>7577415.5</v>
      </c>
      <c r="D282" s="29">
        <v>0</v>
      </c>
      <c r="E282" s="32">
        <v>8608368</v>
      </c>
      <c r="F282" s="29">
        <v>10243957.92</v>
      </c>
      <c r="G282" s="32">
        <v>0</v>
      </c>
      <c r="H282" s="29">
        <v>0</v>
      </c>
    </row>
    <row r="283" spans="1:8" x14ac:dyDescent="0.25">
      <c r="A283" s="3" t="s">
        <v>577</v>
      </c>
      <c r="B283" s="3" t="s">
        <v>578</v>
      </c>
      <c r="C283" s="4">
        <v>698570</v>
      </c>
      <c r="D283" s="29">
        <v>0</v>
      </c>
      <c r="E283" s="32">
        <v>698570</v>
      </c>
      <c r="F283" s="29">
        <v>831298.3</v>
      </c>
      <c r="G283" s="32">
        <v>0</v>
      </c>
      <c r="H283" s="29">
        <v>0</v>
      </c>
    </row>
    <row r="284" spans="1:8" x14ac:dyDescent="0.25">
      <c r="A284" s="3" t="s">
        <v>579</v>
      </c>
      <c r="B284" s="3" t="s">
        <v>580</v>
      </c>
      <c r="C284" s="4">
        <v>45654303</v>
      </c>
      <c r="D284" s="29">
        <v>0</v>
      </c>
      <c r="E284" s="32">
        <v>48919688</v>
      </c>
      <c r="F284" s="29">
        <v>58214428.719999999</v>
      </c>
      <c r="G284" s="32">
        <v>641580</v>
      </c>
      <c r="H284" s="29">
        <v>716060</v>
      </c>
    </row>
    <row r="285" spans="1:8" x14ac:dyDescent="0.25">
      <c r="A285" s="3" t="s">
        <v>581</v>
      </c>
      <c r="B285" s="3" t="s">
        <v>582</v>
      </c>
      <c r="C285" s="4">
        <v>1581772</v>
      </c>
      <c r="D285" s="29">
        <v>0</v>
      </c>
      <c r="E285" s="32">
        <v>1581772</v>
      </c>
      <c r="F285" s="29">
        <v>1882308.68</v>
      </c>
      <c r="G285" s="32">
        <v>0</v>
      </c>
      <c r="H285" s="29">
        <v>0</v>
      </c>
    </row>
    <row r="286" spans="1:8" x14ac:dyDescent="0.25">
      <c r="A286" s="3" t="s">
        <v>583</v>
      </c>
      <c r="B286" s="3" t="s">
        <v>584</v>
      </c>
      <c r="C286" s="4">
        <v>143875</v>
      </c>
      <c r="D286" s="29">
        <v>0</v>
      </c>
      <c r="E286" s="32">
        <v>143875</v>
      </c>
      <c r="F286" s="29">
        <v>171211.25</v>
      </c>
      <c r="G286" s="32">
        <v>0</v>
      </c>
      <c r="H286" s="29">
        <v>0</v>
      </c>
    </row>
    <row r="287" spans="1:8" x14ac:dyDescent="0.25">
      <c r="A287" s="3" t="s">
        <v>585</v>
      </c>
      <c r="B287" s="3" t="s">
        <v>586</v>
      </c>
      <c r="C287" s="4">
        <v>1610719</v>
      </c>
      <c r="D287" s="29">
        <v>0</v>
      </c>
      <c r="E287" s="32">
        <v>1610719</v>
      </c>
      <c r="F287" s="29">
        <v>1916755.61</v>
      </c>
      <c r="G287" s="32">
        <v>0</v>
      </c>
      <c r="H287" s="29">
        <v>0</v>
      </c>
    </row>
    <row r="288" spans="1:8" x14ac:dyDescent="0.25">
      <c r="A288" s="3" t="s">
        <v>587</v>
      </c>
      <c r="B288" s="3" t="s">
        <v>588</v>
      </c>
      <c r="C288" s="4">
        <v>1432400</v>
      </c>
      <c r="D288" s="29">
        <v>0</v>
      </c>
      <c r="E288" s="32">
        <v>1432400</v>
      </c>
      <c r="F288" s="29">
        <v>1704556</v>
      </c>
      <c r="G288" s="32">
        <v>0</v>
      </c>
      <c r="H288" s="29">
        <v>0</v>
      </c>
    </row>
    <row r="289" spans="1:8" x14ac:dyDescent="0.25">
      <c r="A289" s="3" t="s">
        <v>589</v>
      </c>
      <c r="B289" s="3" t="s">
        <v>590</v>
      </c>
      <c r="C289" s="4">
        <v>5372349</v>
      </c>
      <c r="D289" s="29">
        <v>0</v>
      </c>
      <c r="E289" s="32">
        <v>6214579</v>
      </c>
      <c r="F289" s="29">
        <v>7395349.0099999998</v>
      </c>
      <c r="G289" s="32">
        <v>0</v>
      </c>
      <c r="H289" s="29">
        <v>0</v>
      </c>
    </row>
    <row r="290" spans="1:8" x14ac:dyDescent="0.25">
      <c r="A290" s="3" t="s">
        <v>591</v>
      </c>
      <c r="B290" s="3" t="s">
        <v>592</v>
      </c>
      <c r="C290" s="4">
        <v>732033</v>
      </c>
      <c r="D290" s="29">
        <v>0</v>
      </c>
      <c r="E290" s="32">
        <v>732033</v>
      </c>
      <c r="F290" s="29">
        <v>871119.27</v>
      </c>
      <c r="G290" s="32">
        <v>0</v>
      </c>
      <c r="H290" s="29">
        <v>0</v>
      </c>
    </row>
    <row r="291" spans="1:8" x14ac:dyDescent="0.25">
      <c r="A291" s="3" t="s">
        <v>593</v>
      </c>
      <c r="B291" s="3" t="s">
        <v>594</v>
      </c>
      <c r="C291" s="4">
        <v>84121248</v>
      </c>
      <c r="D291" s="29">
        <v>35657500</v>
      </c>
      <c r="E291" s="32">
        <v>15544151</v>
      </c>
      <c r="F291" s="29">
        <v>18497539.690000001</v>
      </c>
      <c r="G291" s="32">
        <v>359942</v>
      </c>
      <c r="H291" s="29">
        <v>359942</v>
      </c>
    </row>
    <row r="292" spans="1:8" x14ac:dyDescent="0.25">
      <c r="A292" s="3" t="s">
        <v>595</v>
      </c>
      <c r="B292" s="3" t="s">
        <v>596</v>
      </c>
      <c r="C292" s="4">
        <v>106831096</v>
      </c>
      <c r="D292" s="29">
        <v>0</v>
      </c>
      <c r="E292" s="32">
        <v>78403586</v>
      </c>
      <c r="F292" s="29">
        <v>92868132.859999999</v>
      </c>
      <c r="G292" s="32">
        <v>8948417</v>
      </c>
      <c r="H292" s="29">
        <v>8948417</v>
      </c>
    </row>
    <row r="293" spans="1:8" x14ac:dyDescent="0.25">
      <c r="A293" s="3" t="s">
        <v>597</v>
      </c>
      <c r="B293" s="3" t="s">
        <v>598</v>
      </c>
      <c r="C293" s="4">
        <v>935048</v>
      </c>
      <c r="D293" s="29">
        <v>935048</v>
      </c>
      <c r="E293" s="32">
        <v>0</v>
      </c>
      <c r="F293" s="29">
        <v>0</v>
      </c>
      <c r="G293" s="32">
        <v>0</v>
      </c>
      <c r="H293" s="29">
        <v>0</v>
      </c>
    </row>
    <row r="294" spans="1:8" x14ac:dyDescent="0.25">
      <c r="A294" s="3" t="s">
        <v>599</v>
      </c>
      <c r="B294" s="3" t="s">
        <v>600</v>
      </c>
      <c r="C294" s="4">
        <v>41720819</v>
      </c>
      <c r="D294" s="29">
        <v>0</v>
      </c>
      <c r="E294" s="32">
        <v>17251703</v>
      </c>
      <c r="F294" s="29">
        <v>20529526.57</v>
      </c>
      <c r="G294" s="32">
        <v>0</v>
      </c>
      <c r="H294" s="29">
        <v>0</v>
      </c>
    </row>
    <row r="295" spans="1:8" x14ac:dyDescent="0.25">
      <c r="A295" s="3" t="s">
        <v>601</v>
      </c>
      <c r="B295" s="3" t="s">
        <v>602</v>
      </c>
      <c r="C295" s="4">
        <v>14599291</v>
      </c>
      <c r="D295" s="29">
        <v>0</v>
      </c>
      <c r="E295" s="32">
        <v>14599291</v>
      </c>
      <c r="F295" s="29">
        <v>17373156.289999999</v>
      </c>
      <c r="G295" s="32">
        <v>375653</v>
      </c>
      <c r="H295" s="29">
        <v>375653</v>
      </c>
    </row>
    <row r="296" spans="1:8" x14ac:dyDescent="0.25">
      <c r="A296" s="3" t="s">
        <v>603</v>
      </c>
      <c r="B296" s="3" t="s">
        <v>604</v>
      </c>
      <c r="C296" s="4">
        <v>784190</v>
      </c>
      <c r="D296" s="29">
        <v>0</v>
      </c>
      <c r="E296" s="32">
        <v>784190</v>
      </c>
      <c r="F296" s="29">
        <v>933186.1</v>
      </c>
      <c r="G296" s="32">
        <v>0</v>
      </c>
      <c r="H296" s="29">
        <v>0</v>
      </c>
    </row>
    <row r="297" spans="1:8" x14ac:dyDescent="0.25">
      <c r="A297" s="3" t="s">
        <v>605</v>
      </c>
      <c r="B297" s="3" t="s">
        <v>606</v>
      </c>
      <c r="C297" s="4">
        <v>10043077</v>
      </c>
      <c r="D297" s="29">
        <v>0</v>
      </c>
      <c r="E297" s="32">
        <v>10041975</v>
      </c>
      <c r="F297" s="29">
        <v>11949950.25</v>
      </c>
      <c r="G297" s="32">
        <v>0</v>
      </c>
      <c r="H297" s="29">
        <v>0</v>
      </c>
    </row>
    <row r="298" spans="1:8" x14ac:dyDescent="0.25">
      <c r="A298" s="3" t="s">
        <v>607</v>
      </c>
      <c r="B298" s="3" t="s">
        <v>608</v>
      </c>
      <c r="C298" s="4">
        <v>61433696</v>
      </c>
      <c r="D298" s="29">
        <v>1200</v>
      </c>
      <c r="E298" s="32">
        <v>118096786</v>
      </c>
      <c r="F298" s="29">
        <v>140535175.34</v>
      </c>
      <c r="G298" s="32">
        <v>4297947</v>
      </c>
      <c r="H298" s="29">
        <v>4297947</v>
      </c>
    </row>
    <row r="299" spans="1:8" x14ac:dyDescent="0.25">
      <c r="A299" s="3" t="s">
        <v>609</v>
      </c>
      <c r="B299" s="3" t="s">
        <v>610</v>
      </c>
      <c r="C299" s="4">
        <v>2644751</v>
      </c>
      <c r="D299" s="29">
        <v>0</v>
      </c>
      <c r="E299" s="32">
        <v>3801391</v>
      </c>
      <c r="F299" s="29">
        <v>4523655.29</v>
      </c>
      <c r="G299" s="32">
        <v>0</v>
      </c>
      <c r="H299" s="29">
        <v>0</v>
      </c>
    </row>
    <row r="300" spans="1:8" x14ac:dyDescent="0.25">
      <c r="A300" s="3" t="s">
        <v>611</v>
      </c>
      <c r="B300" s="3" t="s">
        <v>612</v>
      </c>
      <c r="C300" s="4">
        <v>454702</v>
      </c>
      <c r="D300" s="29">
        <v>0</v>
      </c>
      <c r="E300" s="32">
        <v>454702</v>
      </c>
      <c r="F300" s="29">
        <v>541095.38</v>
      </c>
      <c r="G300" s="32">
        <v>0</v>
      </c>
      <c r="H300" s="29">
        <v>0</v>
      </c>
    </row>
    <row r="301" spans="1:8" x14ac:dyDescent="0.25">
      <c r="A301" s="3" t="s">
        <v>613</v>
      </c>
      <c r="B301" s="3" t="s">
        <v>614</v>
      </c>
      <c r="C301" s="4">
        <v>2009094</v>
      </c>
      <c r="D301" s="29">
        <v>0</v>
      </c>
      <c r="E301" s="32">
        <v>2009094</v>
      </c>
      <c r="F301" s="29">
        <v>2390821.86</v>
      </c>
      <c r="G301" s="32">
        <v>0</v>
      </c>
      <c r="H301" s="29">
        <v>0</v>
      </c>
    </row>
    <row r="302" spans="1:8" x14ac:dyDescent="0.25">
      <c r="A302" s="3" t="s">
        <v>615</v>
      </c>
      <c r="B302" s="3" t="s">
        <v>616</v>
      </c>
      <c r="C302" s="4">
        <v>7277928.0499999998</v>
      </c>
      <c r="D302" s="29">
        <v>0</v>
      </c>
      <c r="E302" s="32">
        <v>8475182</v>
      </c>
      <c r="F302" s="29">
        <v>10085466.58</v>
      </c>
      <c r="G302" s="32">
        <v>0</v>
      </c>
      <c r="H302" s="29">
        <v>0</v>
      </c>
    </row>
    <row r="303" spans="1:8" x14ac:dyDescent="0.25">
      <c r="A303" s="3" t="s">
        <v>617</v>
      </c>
      <c r="B303" s="3" t="s">
        <v>618</v>
      </c>
      <c r="C303" s="4">
        <v>12574254</v>
      </c>
      <c r="D303" s="29">
        <v>0</v>
      </c>
      <c r="E303" s="32">
        <v>7105772</v>
      </c>
      <c r="F303" s="29">
        <v>8455868.6799999997</v>
      </c>
      <c r="G303" s="32">
        <v>112780</v>
      </c>
      <c r="H303" s="29">
        <v>112780</v>
      </c>
    </row>
    <row r="304" spans="1:8" x14ac:dyDescent="0.25">
      <c r="A304" s="3" t="s">
        <v>619</v>
      </c>
      <c r="B304" s="3" t="s">
        <v>620</v>
      </c>
      <c r="C304" s="4">
        <v>1783650</v>
      </c>
      <c r="D304" s="29">
        <v>0</v>
      </c>
      <c r="E304" s="32">
        <v>1783650</v>
      </c>
      <c r="F304" s="29">
        <v>2122543.5</v>
      </c>
      <c r="G304" s="32">
        <v>0</v>
      </c>
      <c r="H304" s="29">
        <v>0</v>
      </c>
    </row>
    <row r="305" spans="1:8" x14ac:dyDescent="0.25">
      <c r="A305" s="3" t="s">
        <v>621</v>
      </c>
      <c r="B305" s="3" t="s">
        <v>622</v>
      </c>
      <c r="C305" s="4">
        <v>104011436</v>
      </c>
      <c r="D305" s="29">
        <v>0</v>
      </c>
      <c r="E305" s="32">
        <v>92725651</v>
      </c>
      <c r="F305" s="29">
        <v>110343524.69</v>
      </c>
      <c r="G305" s="32">
        <v>3707327</v>
      </c>
      <c r="H305" s="29">
        <v>4265830.0999999996</v>
      </c>
    </row>
    <row r="306" spans="1:8" x14ac:dyDescent="0.25">
      <c r="A306" s="3" t="s">
        <v>623</v>
      </c>
      <c r="B306" s="3" t="s">
        <v>624</v>
      </c>
      <c r="C306" s="4">
        <v>106097648</v>
      </c>
      <c r="D306" s="29">
        <v>930600</v>
      </c>
      <c r="E306" s="32">
        <v>84132206</v>
      </c>
      <c r="F306" s="29">
        <v>100117325.14</v>
      </c>
      <c r="G306" s="32">
        <v>6180585</v>
      </c>
      <c r="H306" s="29">
        <v>6813275.5</v>
      </c>
    </row>
    <row r="307" spans="1:8" x14ac:dyDescent="0.25">
      <c r="A307" s="3" t="s">
        <v>625</v>
      </c>
      <c r="B307" s="3" t="s">
        <v>626</v>
      </c>
      <c r="C307" s="4">
        <v>314360</v>
      </c>
      <c r="D307" s="29">
        <v>0</v>
      </c>
      <c r="E307" s="32">
        <v>314360</v>
      </c>
      <c r="F307" s="29">
        <v>374088.4</v>
      </c>
      <c r="G307" s="32">
        <v>0</v>
      </c>
      <c r="H307" s="29">
        <v>0</v>
      </c>
    </row>
    <row r="308" spans="1:8" x14ac:dyDescent="0.25">
      <c r="A308" s="3" t="s">
        <v>627</v>
      </c>
      <c r="B308" s="3" t="s">
        <v>628</v>
      </c>
      <c r="C308" s="4">
        <v>3081380</v>
      </c>
      <c r="D308" s="29">
        <v>0</v>
      </c>
      <c r="E308" s="32">
        <v>3081380</v>
      </c>
      <c r="F308" s="29">
        <v>3666842.2</v>
      </c>
      <c r="G308" s="32">
        <v>0</v>
      </c>
      <c r="H308" s="29">
        <v>0</v>
      </c>
    </row>
    <row r="309" spans="1:8" x14ac:dyDescent="0.25">
      <c r="A309" s="3" t="s">
        <v>629</v>
      </c>
      <c r="B309" s="3" t="s">
        <v>630</v>
      </c>
      <c r="C309" s="4">
        <v>3612320</v>
      </c>
      <c r="D309" s="29">
        <v>0</v>
      </c>
      <c r="E309" s="32">
        <v>4201150</v>
      </c>
      <c r="F309" s="29">
        <v>4999368.5</v>
      </c>
      <c r="G309" s="32">
        <v>0</v>
      </c>
      <c r="H309" s="29">
        <v>0</v>
      </c>
    </row>
    <row r="310" spans="1:8" x14ac:dyDescent="0.25">
      <c r="A310" s="3" t="s">
        <v>631</v>
      </c>
      <c r="B310" s="3" t="s">
        <v>632</v>
      </c>
      <c r="C310" s="4">
        <v>239785.62</v>
      </c>
      <c r="D310" s="29">
        <v>0</v>
      </c>
      <c r="E310" s="32">
        <v>239785</v>
      </c>
      <c r="F310" s="29">
        <v>285344.15000000002</v>
      </c>
      <c r="G310" s="32">
        <v>0</v>
      </c>
      <c r="H310" s="29">
        <v>0</v>
      </c>
    </row>
    <row r="311" spans="1:8" x14ac:dyDescent="0.25">
      <c r="A311" s="3" t="s">
        <v>633</v>
      </c>
      <c r="B311" s="3" t="s">
        <v>634</v>
      </c>
      <c r="C311" s="4">
        <v>9343300</v>
      </c>
      <c r="D311" s="29">
        <v>2456600</v>
      </c>
      <c r="E311" s="32">
        <v>6886700</v>
      </c>
      <c r="F311" s="29">
        <v>8186813</v>
      </c>
      <c r="G311" s="32">
        <v>0</v>
      </c>
      <c r="H311" s="29">
        <v>0</v>
      </c>
    </row>
    <row r="312" spans="1:8" x14ac:dyDescent="0.25">
      <c r="A312" s="3" t="s">
        <v>635</v>
      </c>
      <c r="B312" s="3" t="s">
        <v>636</v>
      </c>
      <c r="C312" s="4">
        <v>400000</v>
      </c>
      <c r="D312" s="29">
        <v>0</v>
      </c>
      <c r="E312" s="32">
        <v>400000</v>
      </c>
      <c r="F312" s="29">
        <v>476000</v>
      </c>
      <c r="G312" s="32">
        <v>0</v>
      </c>
      <c r="H312" s="29">
        <v>0</v>
      </c>
    </row>
    <row r="313" spans="1:8" x14ac:dyDescent="0.25">
      <c r="A313" s="3" t="s">
        <v>637</v>
      </c>
      <c r="B313" s="3" t="s">
        <v>638</v>
      </c>
      <c r="C313" s="4">
        <v>595208</v>
      </c>
      <c r="D313" s="29">
        <v>0</v>
      </c>
      <c r="E313" s="32">
        <v>595208</v>
      </c>
      <c r="F313" s="29">
        <v>708297.52</v>
      </c>
      <c r="G313" s="32">
        <v>0</v>
      </c>
      <c r="H313" s="29">
        <v>0</v>
      </c>
    </row>
    <row r="314" spans="1:8" x14ac:dyDescent="0.25">
      <c r="A314" s="3" t="s">
        <v>639</v>
      </c>
      <c r="B314" s="3" t="s">
        <v>640</v>
      </c>
      <c r="C314" s="4">
        <v>121075837</v>
      </c>
      <c r="D314" s="29">
        <v>9615000</v>
      </c>
      <c r="E314" s="32">
        <v>162807159.08000001</v>
      </c>
      <c r="F314" s="29">
        <v>193740519.31</v>
      </c>
      <c r="G314" s="32">
        <v>16315008</v>
      </c>
      <c r="H314" s="29">
        <v>17055194.039999999</v>
      </c>
    </row>
    <row r="315" spans="1:8" x14ac:dyDescent="0.25">
      <c r="A315" s="3" t="s">
        <v>641</v>
      </c>
      <c r="B315" s="3" t="s">
        <v>642</v>
      </c>
      <c r="C315" s="4">
        <v>1397559</v>
      </c>
      <c r="D315" s="29">
        <v>0</v>
      </c>
      <c r="E315" s="32">
        <v>1641789</v>
      </c>
      <c r="F315" s="29">
        <v>1953728.91</v>
      </c>
      <c r="G315" s="32">
        <v>0</v>
      </c>
      <c r="H315" s="29">
        <v>0</v>
      </c>
    </row>
    <row r="316" spans="1:8" x14ac:dyDescent="0.25">
      <c r="A316" s="3" t="s">
        <v>643</v>
      </c>
      <c r="B316" s="3" t="s">
        <v>644</v>
      </c>
      <c r="C316" s="4">
        <v>8379707</v>
      </c>
      <c r="D316" s="29">
        <v>0</v>
      </c>
      <c r="E316" s="32">
        <v>4457687</v>
      </c>
      <c r="F316" s="29">
        <v>5304647.53</v>
      </c>
      <c r="G316" s="32">
        <v>0</v>
      </c>
      <c r="H316" s="29">
        <v>0</v>
      </c>
    </row>
    <row r="317" spans="1:8" x14ac:dyDescent="0.25">
      <c r="A317" s="3" t="s">
        <v>645</v>
      </c>
      <c r="B317" s="3" t="s">
        <v>646</v>
      </c>
      <c r="C317" s="4">
        <v>394992</v>
      </c>
      <c r="D317" s="29">
        <v>0</v>
      </c>
      <c r="E317" s="32">
        <v>394992</v>
      </c>
      <c r="F317" s="29">
        <v>470040.48</v>
      </c>
      <c r="G317" s="32">
        <v>0</v>
      </c>
      <c r="H317" s="29">
        <v>0</v>
      </c>
    </row>
    <row r="318" spans="1:8" x14ac:dyDescent="0.25">
      <c r="A318" s="3" t="s">
        <v>647</v>
      </c>
      <c r="B318" s="3" t="s">
        <v>648</v>
      </c>
      <c r="C318" s="4">
        <v>5475544</v>
      </c>
      <c r="D318" s="29">
        <v>100</v>
      </c>
      <c r="E318" s="32">
        <v>7927995.5</v>
      </c>
      <c r="F318" s="29">
        <v>9434314.6500000004</v>
      </c>
      <c r="G318" s="32">
        <v>253034</v>
      </c>
      <c r="H318" s="29">
        <v>253034</v>
      </c>
    </row>
    <row r="319" spans="1:8" x14ac:dyDescent="0.25">
      <c r="A319" s="3" t="s">
        <v>649</v>
      </c>
      <c r="B319" s="3" t="s">
        <v>650</v>
      </c>
      <c r="C319" s="4">
        <v>949260</v>
      </c>
      <c r="D319" s="29">
        <v>0</v>
      </c>
      <c r="E319" s="32">
        <v>949260</v>
      </c>
      <c r="F319" s="29">
        <v>1129619.3999999999</v>
      </c>
      <c r="G319" s="32">
        <v>0</v>
      </c>
      <c r="H319" s="29">
        <v>0</v>
      </c>
    </row>
    <row r="320" spans="1:8" x14ac:dyDescent="0.25">
      <c r="A320" s="3" t="s">
        <v>651</v>
      </c>
      <c r="B320" s="3" t="s">
        <v>652</v>
      </c>
      <c r="C320" s="4">
        <v>2068188</v>
      </c>
      <c r="D320" s="29">
        <v>0</v>
      </c>
      <c r="E320" s="32">
        <v>2068188</v>
      </c>
      <c r="F320" s="29">
        <v>2461143.7200000002</v>
      </c>
      <c r="G320" s="32">
        <v>0</v>
      </c>
      <c r="H320" s="29">
        <v>0</v>
      </c>
    </row>
    <row r="321" spans="1:8" x14ac:dyDescent="0.25">
      <c r="A321" s="3" t="s">
        <v>653</v>
      </c>
      <c r="B321" s="3" t="s">
        <v>654</v>
      </c>
      <c r="C321" s="4">
        <v>155000</v>
      </c>
      <c r="D321" s="29">
        <v>0</v>
      </c>
      <c r="E321" s="32">
        <v>155000</v>
      </c>
      <c r="F321" s="29">
        <v>184450</v>
      </c>
      <c r="G321" s="32">
        <v>0</v>
      </c>
      <c r="H321" s="29">
        <v>0</v>
      </c>
    </row>
    <row r="322" spans="1:8" x14ac:dyDescent="0.25">
      <c r="A322" s="3" t="s">
        <v>655</v>
      </c>
      <c r="B322" s="3" t="s">
        <v>656</v>
      </c>
      <c r="C322" s="4">
        <v>4723138</v>
      </c>
      <c r="D322" s="29">
        <v>0</v>
      </c>
      <c r="E322" s="32">
        <v>6566928</v>
      </c>
      <c r="F322" s="29">
        <v>7814644.3200000003</v>
      </c>
      <c r="G322" s="32">
        <v>0</v>
      </c>
      <c r="H322" s="29">
        <v>0</v>
      </c>
    </row>
    <row r="323" spans="1:8" x14ac:dyDescent="0.25">
      <c r="A323" s="3" t="s">
        <v>657</v>
      </c>
      <c r="B323" s="3" t="s">
        <v>658</v>
      </c>
      <c r="C323" s="4">
        <v>13215304</v>
      </c>
      <c r="D323" s="29">
        <v>300000</v>
      </c>
      <c r="E323" s="32">
        <v>10609531</v>
      </c>
      <c r="F323" s="29">
        <v>12625341.890000001</v>
      </c>
      <c r="G323" s="32">
        <v>0</v>
      </c>
      <c r="H323" s="29">
        <v>0</v>
      </c>
    </row>
    <row r="324" spans="1:8" x14ac:dyDescent="0.25">
      <c r="A324" s="3" t="s">
        <v>659</v>
      </c>
      <c r="B324" s="3" t="s">
        <v>660</v>
      </c>
      <c r="C324" s="4">
        <v>11246616.16</v>
      </c>
      <c r="D324" s="29">
        <v>428976</v>
      </c>
      <c r="E324" s="32">
        <v>8831216</v>
      </c>
      <c r="F324" s="29">
        <v>10509147.039999999</v>
      </c>
      <c r="G324" s="32">
        <v>0</v>
      </c>
      <c r="H324" s="29">
        <v>0</v>
      </c>
    </row>
    <row r="325" spans="1:8" x14ac:dyDescent="0.25">
      <c r="A325" s="3" t="s">
        <v>661</v>
      </c>
      <c r="B325" s="3" t="s">
        <v>662</v>
      </c>
      <c r="C325" s="4">
        <v>2108030</v>
      </c>
      <c r="D325" s="29">
        <v>0</v>
      </c>
      <c r="E325" s="32">
        <v>0</v>
      </c>
      <c r="F325" s="29">
        <v>0</v>
      </c>
      <c r="G325" s="32">
        <v>103151</v>
      </c>
      <c r="H325" s="29">
        <v>103151</v>
      </c>
    </row>
    <row r="326" spans="1:8" x14ac:dyDescent="0.25">
      <c r="A326" s="3" t="s">
        <v>663</v>
      </c>
      <c r="B326" s="3" t="s">
        <v>664</v>
      </c>
      <c r="C326" s="4">
        <v>52195757.579999998</v>
      </c>
      <c r="D326" s="29">
        <v>0</v>
      </c>
      <c r="E326" s="32">
        <v>67188543</v>
      </c>
      <c r="F326" s="29">
        <v>79954366.170000002</v>
      </c>
      <c r="G326" s="32">
        <v>906846</v>
      </c>
      <c r="H326" s="29">
        <v>906846</v>
      </c>
    </row>
    <row r="327" spans="1:8" x14ac:dyDescent="0.25">
      <c r="A327" s="3" t="s">
        <v>665</v>
      </c>
      <c r="B327" s="3" t="s">
        <v>666</v>
      </c>
      <c r="C327" s="4">
        <v>4257594</v>
      </c>
      <c r="D327" s="29">
        <v>0</v>
      </c>
      <c r="E327" s="32">
        <v>4257594</v>
      </c>
      <c r="F327" s="29">
        <v>5066536.8600000003</v>
      </c>
      <c r="G327" s="32">
        <v>61469</v>
      </c>
      <c r="H327" s="29">
        <v>73148.11</v>
      </c>
    </row>
    <row r="328" spans="1:8" x14ac:dyDescent="0.25">
      <c r="A328" s="3" t="s">
        <v>667</v>
      </c>
      <c r="B328" s="3" t="s">
        <v>668</v>
      </c>
      <c r="C328" s="4">
        <v>76484458</v>
      </c>
      <c r="D328" s="29">
        <v>683</v>
      </c>
      <c r="E328" s="32">
        <v>61602365</v>
      </c>
      <c r="F328" s="29">
        <v>73300620.349999994</v>
      </c>
      <c r="G328" s="32">
        <v>378512</v>
      </c>
      <c r="H328" s="29">
        <v>378512</v>
      </c>
    </row>
    <row r="329" spans="1:8" x14ac:dyDescent="0.25">
      <c r="A329" s="3" t="s">
        <v>669</v>
      </c>
      <c r="B329" s="3" t="s">
        <v>670</v>
      </c>
      <c r="C329" s="4">
        <v>27783001.399999999</v>
      </c>
      <c r="D329" s="29">
        <v>60</v>
      </c>
      <c r="E329" s="32">
        <v>12685050</v>
      </c>
      <c r="F329" s="29">
        <v>15095209.5</v>
      </c>
      <c r="G329" s="32">
        <v>954645</v>
      </c>
      <c r="H329" s="29">
        <v>954645</v>
      </c>
    </row>
    <row r="330" spans="1:8" x14ac:dyDescent="0.25">
      <c r="A330" s="3" t="s">
        <v>671</v>
      </c>
      <c r="B330" s="3" t="s">
        <v>672</v>
      </c>
      <c r="C330" s="4">
        <v>1071520</v>
      </c>
      <c r="D330" s="29">
        <v>0</v>
      </c>
      <c r="E330" s="32">
        <v>1795520</v>
      </c>
      <c r="F330" s="29">
        <v>2136668.7999999998</v>
      </c>
      <c r="G330" s="32">
        <v>0</v>
      </c>
      <c r="H330" s="29">
        <v>0</v>
      </c>
    </row>
    <row r="331" spans="1:8" x14ac:dyDescent="0.25">
      <c r="A331" s="3" t="s">
        <v>673</v>
      </c>
      <c r="B331" s="3" t="s">
        <v>674</v>
      </c>
      <c r="C331" s="4">
        <v>178536</v>
      </c>
      <c r="D331" s="29">
        <v>0</v>
      </c>
      <c r="E331" s="32">
        <v>178536</v>
      </c>
      <c r="F331" s="29">
        <v>212457.84</v>
      </c>
      <c r="G331" s="32">
        <v>0</v>
      </c>
      <c r="H331" s="29">
        <v>0</v>
      </c>
    </row>
    <row r="332" spans="1:8" x14ac:dyDescent="0.25">
      <c r="A332" s="3" t="s">
        <v>675</v>
      </c>
      <c r="B332" s="3" t="s">
        <v>676</v>
      </c>
      <c r="C332" s="4">
        <v>17048112</v>
      </c>
      <c r="D332" s="29">
        <v>0</v>
      </c>
      <c r="E332" s="32">
        <v>17976664</v>
      </c>
      <c r="F332" s="29">
        <v>21392230.16</v>
      </c>
      <c r="G332" s="32">
        <v>109829</v>
      </c>
      <c r="H332" s="29">
        <v>109829</v>
      </c>
    </row>
    <row r="333" spans="1:8" x14ac:dyDescent="0.25">
      <c r="A333" s="3" t="s">
        <v>677</v>
      </c>
      <c r="B333" s="3" t="s">
        <v>678</v>
      </c>
      <c r="C333" s="4">
        <v>193184</v>
      </c>
      <c r="D333" s="29">
        <v>0</v>
      </c>
      <c r="E333" s="32">
        <v>193184</v>
      </c>
      <c r="F333" s="29">
        <v>229888.96</v>
      </c>
      <c r="G333" s="32">
        <v>0</v>
      </c>
      <c r="H333" s="29">
        <v>0</v>
      </c>
    </row>
    <row r="334" spans="1:8" x14ac:dyDescent="0.25">
      <c r="A334" s="3" t="s">
        <v>679</v>
      </c>
      <c r="B334" s="3" t="s">
        <v>680</v>
      </c>
      <c r="C334" s="4">
        <v>57761776</v>
      </c>
      <c r="D334" s="29">
        <v>5293660</v>
      </c>
      <c r="E334" s="32">
        <v>45530831</v>
      </c>
      <c r="F334" s="29">
        <v>54175494.890000001</v>
      </c>
      <c r="G334" s="32">
        <v>2801615</v>
      </c>
      <c r="H334" s="29">
        <v>2801615</v>
      </c>
    </row>
    <row r="335" spans="1:8" x14ac:dyDescent="0.25">
      <c r="A335" s="3" t="s">
        <v>681</v>
      </c>
      <c r="B335" s="3" t="s">
        <v>682</v>
      </c>
      <c r="C335" s="4">
        <v>2871215</v>
      </c>
      <c r="D335" s="29">
        <v>0</v>
      </c>
      <c r="E335" s="32">
        <v>2871215</v>
      </c>
      <c r="F335" s="29">
        <v>3416745.85</v>
      </c>
      <c r="G335" s="32">
        <v>0</v>
      </c>
      <c r="H335" s="29">
        <v>0</v>
      </c>
    </row>
    <row r="336" spans="1:8" x14ac:dyDescent="0.25">
      <c r="A336" s="3" t="s">
        <v>683</v>
      </c>
      <c r="B336" s="3" t="s">
        <v>684</v>
      </c>
      <c r="C336" s="4">
        <v>25932825.5</v>
      </c>
      <c r="D336" s="29">
        <v>0</v>
      </c>
      <c r="E336" s="32">
        <v>19930015</v>
      </c>
      <c r="F336" s="29">
        <v>23716717.850000001</v>
      </c>
      <c r="G336" s="32">
        <v>0</v>
      </c>
      <c r="H336" s="29">
        <v>0</v>
      </c>
    </row>
    <row r="337" spans="1:8" x14ac:dyDescent="0.25">
      <c r="A337" s="3" t="s">
        <v>685</v>
      </c>
      <c r="B337" s="3" t="s">
        <v>686</v>
      </c>
      <c r="C337" s="4">
        <v>11347422.220000001</v>
      </c>
      <c r="D337" s="29">
        <v>0</v>
      </c>
      <c r="E337" s="32">
        <v>11347421</v>
      </c>
      <c r="F337" s="29">
        <v>13503430.99</v>
      </c>
      <c r="G337" s="32">
        <v>0</v>
      </c>
      <c r="H337" s="29">
        <v>0</v>
      </c>
    </row>
    <row r="338" spans="1:8" x14ac:dyDescent="0.25">
      <c r="A338" s="3" t="s">
        <v>687</v>
      </c>
      <c r="B338" s="3" t="s">
        <v>688</v>
      </c>
      <c r="C338" s="4">
        <v>18768500</v>
      </c>
      <c r="D338" s="29">
        <v>0</v>
      </c>
      <c r="E338" s="32">
        <v>24536500</v>
      </c>
      <c r="F338" s="29">
        <v>29198435</v>
      </c>
      <c r="G338" s="32">
        <v>0</v>
      </c>
      <c r="H338" s="29">
        <v>0</v>
      </c>
    </row>
    <row r="339" spans="1:8" x14ac:dyDescent="0.25">
      <c r="A339" s="3" t="s">
        <v>689</v>
      </c>
      <c r="B339" s="3" t="s">
        <v>690</v>
      </c>
      <c r="C339" s="4">
        <v>0</v>
      </c>
      <c r="D339" s="29">
        <v>0</v>
      </c>
      <c r="E339" s="32">
        <v>121700</v>
      </c>
      <c r="F339" s="29">
        <v>144823</v>
      </c>
      <c r="G339" s="32">
        <v>0</v>
      </c>
      <c r="H339" s="29">
        <v>0</v>
      </c>
    </row>
    <row r="340" spans="1:8" x14ac:dyDescent="0.25">
      <c r="A340" s="3" t="s">
        <v>691</v>
      </c>
      <c r="B340" s="3" t="s">
        <v>692</v>
      </c>
      <c r="C340" s="4">
        <v>320600</v>
      </c>
      <c r="D340" s="29">
        <v>0</v>
      </c>
      <c r="E340" s="32">
        <v>320600</v>
      </c>
      <c r="F340" s="29">
        <v>381514</v>
      </c>
      <c r="G340" s="32">
        <v>0</v>
      </c>
      <c r="H340" s="29">
        <v>0</v>
      </c>
    </row>
    <row r="341" spans="1:8" x14ac:dyDescent="0.25">
      <c r="A341" s="3" t="s">
        <v>693</v>
      </c>
      <c r="B341" s="3" t="s">
        <v>694</v>
      </c>
      <c r="C341" s="4">
        <v>175728</v>
      </c>
      <c r="D341" s="29">
        <v>0</v>
      </c>
      <c r="E341" s="32">
        <v>175728</v>
      </c>
      <c r="F341" s="29">
        <v>209116.32</v>
      </c>
      <c r="G341" s="32">
        <v>0</v>
      </c>
      <c r="H341" s="29">
        <v>0</v>
      </c>
    </row>
    <row r="342" spans="1:8" x14ac:dyDescent="0.25">
      <c r="A342" s="3" t="s">
        <v>695</v>
      </c>
      <c r="B342" s="3" t="s">
        <v>696</v>
      </c>
      <c r="C342" s="4">
        <v>0</v>
      </c>
      <c r="D342" s="29">
        <v>0</v>
      </c>
      <c r="E342" s="32">
        <v>4223930</v>
      </c>
      <c r="F342" s="29">
        <v>5026476.7</v>
      </c>
      <c r="G342" s="32">
        <v>0</v>
      </c>
      <c r="H342" s="29">
        <v>0</v>
      </c>
    </row>
    <row r="343" spans="1:8" x14ac:dyDescent="0.25">
      <c r="A343" s="3" t="s">
        <v>697</v>
      </c>
      <c r="B343" s="3" t="s">
        <v>698</v>
      </c>
      <c r="C343" s="4">
        <v>327889</v>
      </c>
      <c r="D343" s="29">
        <v>0</v>
      </c>
      <c r="E343" s="32">
        <v>327889</v>
      </c>
      <c r="F343" s="29">
        <v>390187.91</v>
      </c>
      <c r="G343" s="32">
        <v>0</v>
      </c>
      <c r="H343" s="29">
        <v>0</v>
      </c>
    </row>
    <row r="344" spans="1:8" x14ac:dyDescent="0.25">
      <c r="A344" s="3" t="s">
        <v>699</v>
      </c>
      <c r="B344" s="3" t="s">
        <v>700</v>
      </c>
      <c r="C344" s="4">
        <v>727202</v>
      </c>
      <c r="D344" s="29">
        <v>0</v>
      </c>
      <c r="E344" s="32">
        <v>727202</v>
      </c>
      <c r="F344" s="29">
        <v>865370.38</v>
      </c>
      <c r="G344" s="32">
        <v>0</v>
      </c>
      <c r="H344" s="29">
        <v>0</v>
      </c>
    </row>
    <row r="345" spans="1:8" x14ac:dyDescent="0.25">
      <c r="A345" s="3" t="s">
        <v>701</v>
      </c>
      <c r="B345" s="3" t="s">
        <v>702</v>
      </c>
      <c r="C345" s="4">
        <v>21448666.02</v>
      </c>
      <c r="D345" s="29">
        <v>0</v>
      </c>
      <c r="E345" s="32">
        <v>18724950</v>
      </c>
      <c r="F345" s="29">
        <v>22282690.5</v>
      </c>
      <c r="G345" s="32">
        <v>355937</v>
      </c>
      <c r="H345" s="29">
        <v>355937</v>
      </c>
    </row>
    <row r="346" spans="1:8" x14ac:dyDescent="0.25">
      <c r="A346" s="3" t="s">
        <v>703</v>
      </c>
      <c r="B346" s="3" t="s">
        <v>704</v>
      </c>
      <c r="C346" s="4">
        <v>3802</v>
      </c>
      <c r="D346" s="29">
        <v>0</v>
      </c>
      <c r="E346" s="32">
        <v>3802</v>
      </c>
      <c r="F346" s="29">
        <v>4524.38</v>
      </c>
      <c r="G346" s="32">
        <v>0</v>
      </c>
      <c r="H346" s="29">
        <v>0</v>
      </c>
    </row>
    <row r="347" spans="1:8" x14ac:dyDescent="0.25">
      <c r="A347" s="3" t="s">
        <v>705</v>
      </c>
      <c r="B347" s="3" t="s">
        <v>706</v>
      </c>
      <c r="C347" s="4">
        <v>23521788</v>
      </c>
      <c r="D347" s="29">
        <v>0</v>
      </c>
      <c r="E347" s="32">
        <v>25820088</v>
      </c>
      <c r="F347" s="29">
        <v>30289227.719999999</v>
      </c>
      <c r="G347" s="32">
        <v>2063239</v>
      </c>
      <c r="H347" s="29">
        <v>2371799.9500000002</v>
      </c>
    </row>
    <row r="348" spans="1:8" x14ac:dyDescent="0.25">
      <c r="A348" s="3" t="s">
        <v>707</v>
      </c>
      <c r="B348" s="3" t="s">
        <v>708</v>
      </c>
      <c r="C348" s="4">
        <v>168946564.58000001</v>
      </c>
      <c r="D348" s="29">
        <v>3000</v>
      </c>
      <c r="E348" s="32">
        <v>173539294.5</v>
      </c>
      <c r="F348" s="29">
        <v>206511760.46000001</v>
      </c>
      <c r="G348" s="32">
        <v>5783543</v>
      </c>
      <c r="H348" s="29">
        <v>5783543</v>
      </c>
    </row>
    <row r="349" spans="1:8" x14ac:dyDescent="0.25">
      <c r="A349" s="3" t="s">
        <v>709</v>
      </c>
      <c r="B349" s="3" t="s">
        <v>710</v>
      </c>
      <c r="C349" s="4">
        <v>1932824</v>
      </c>
      <c r="D349" s="29">
        <v>0</v>
      </c>
      <c r="E349" s="32">
        <v>1932824</v>
      </c>
      <c r="F349" s="29">
        <v>2300060.56</v>
      </c>
      <c r="G349" s="32">
        <v>0</v>
      </c>
      <c r="H349" s="29">
        <v>0</v>
      </c>
    </row>
    <row r="350" spans="1:8" x14ac:dyDescent="0.25">
      <c r="A350" s="3" t="s">
        <v>711</v>
      </c>
      <c r="B350" s="3" t="s">
        <v>712</v>
      </c>
      <c r="C350" s="4">
        <v>7056139</v>
      </c>
      <c r="D350" s="29">
        <v>0</v>
      </c>
      <c r="E350" s="32">
        <v>8304995</v>
      </c>
      <c r="F350" s="29">
        <v>9882944.0500000007</v>
      </c>
      <c r="G350" s="32">
        <v>3059855</v>
      </c>
      <c r="H350" s="29">
        <v>3641227.45</v>
      </c>
    </row>
    <row r="351" spans="1:8" x14ac:dyDescent="0.25">
      <c r="A351" s="3" t="s">
        <v>713</v>
      </c>
      <c r="B351" s="3" t="s">
        <v>714</v>
      </c>
      <c r="C351" s="4">
        <v>0</v>
      </c>
      <c r="D351" s="29">
        <v>0</v>
      </c>
      <c r="E351" s="32">
        <v>0</v>
      </c>
      <c r="F351" s="29">
        <v>0</v>
      </c>
      <c r="G351" s="32">
        <v>116427</v>
      </c>
      <c r="H351" s="29">
        <v>116427</v>
      </c>
    </row>
    <row r="352" spans="1:8" x14ac:dyDescent="0.25">
      <c r="A352" s="3" t="s">
        <v>715</v>
      </c>
      <c r="B352" s="3" t="s">
        <v>716</v>
      </c>
      <c r="C352" s="4">
        <v>31959279</v>
      </c>
      <c r="D352" s="29">
        <v>0</v>
      </c>
      <c r="E352" s="32">
        <v>31959279</v>
      </c>
      <c r="F352" s="29">
        <v>38031542.009999998</v>
      </c>
      <c r="G352" s="32">
        <v>332987</v>
      </c>
      <c r="H352" s="29">
        <v>332987</v>
      </c>
    </row>
    <row r="353" spans="1:8" x14ac:dyDescent="0.25">
      <c r="A353" s="3" t="s">
        <v>717</v>
      </c>
      <c r="B353" s="3" t="s">
        <v>718</v>
      </c>
      <c r="C353" s="4">
        <v>118066434</v>
      </c>
      <c r="D353" s="29">
        <v>1000</v>
      </c>
      <c r="E353" s="32">
        <v>125789978</v>
      </c>
      <c r="F353" s="29">
        <v>149690073.81999999</v>
      </c>
      <c r="G353" s="32">
        <v>11333041</v>
      </c>
      <c r="H353" s="29">
        <v>11502264.5</v>
      </c>
    </row>
    <row r="354" spans="1:8" x14ac:dyDescent="0.25">
      <c r="A354" s="3" t="s">
        <v>719</v>
      </c>
      <c r="B354" s="3" t="s">
        <v>720</v>
      </c>
      <c r="C354" s="4">
        <v>3398192</v>
      </c>
      <c r="D354" s="29">
        <v>0</v>
      </c>
      <c r="E354" s="32">
        <v>3398192</v>
      </c>
      <c r="F354" s="29">
        <v>4043848.48</v>
      </c>
      <c r="G354" s="32">
        <v>0</v>
      </c>
      <c r="H354" s="29">
        <v>0</v>
      </c>
    </row>
    <row r="355" spans="1:8" x14ac:dyDescent="0.25">
      <c r="A355" s="3" t="s">
        <v>721</v>
      </c>
      <c r="B355" s="3" t="s">
        <v>722</v>
      </c>
      <c r="C355" s="4">
        <v>1481346</v>
      </c>
      <c r="D355" s="29">
        <v>0</v>
      </c>
      <c r="E355" s="32">
        <v>1481346</v>
      </c>
      <c r="F355" s="29">
        <v>1762801.74</v>
      </c>
      <c r="G355" s="32">
        <v>0</v>
      </c>
      <c r="H355" s="29">
        <v>0</v>
      </c>
    </row>
    <row r="356" spans="1:8" x14ac:dyDescent="0.25">
      <c r="A356" s="3" t="s">
        <v>723</v>
      </c>
      <c r="B356" s="3" t="s">
        <v>724</v>
      </c>
      <c r="C356" s="4">
        <v>5181378.0999999996</v>
      </c>
      <c r="D356" s="29">
        <v>0</v>
      </c>
      <c r="E356" s="32">
        <v>5181364</v>
      </c>
      <c r="F356" s="29">
        <v>6165823.1600000001</v>
      </c>
      <c r="G356" s="32">
        <v>0</v>
      </c>
      <c r="H356" s="29">
        <v>0</v>
      </c>
    </row>
    <row r="357" spans="1:8" x14ac:dyDescent="0.25">
      <c r="A357" s="3" t="s">
        <v>725</v>
      </c>
      <c r="B357" s="3" t="s">
        <v>726</v>
      </c>
      <c r="C357" s="4">
        <v>11272437</v>
      </c>
      <c r="D357" s="29">
        <v>0</v>
      </c>
      <c r="E357" s="32">
        <v>9686608</v>
      </c>
      <c r="F357" s="29">
        <v>11527063.52</v>
      </c>
      <c r="G357" s="32">
        <v>0</v>
      </c>
      <c r="H357" s="29">
        <v>0</v>
      </c>
    </row>
    <row r="358" spans="1:8" x14ac:dyDescent="0.25">
      <c r="A358" s="3" t="s">
        <v>727</v>
      </c>
      <c r="B358" s="3" t="s">
        <v>728</v>
      </c>
      <c r="C358" s="4">
        <v>2258172</v>
      </c>
      <c r="D358" s="29">
        <v>702180</v>
      </c>
      <c r="E358" s="32">
        <v>1004312</v>
      </c>
      <c r="F358" s="29">
        <v>1195131.28</v>
      </c>
      <c r="G358" s="32">
        <v>0</v>
      </c>
      <c r="H358" s="29">
        <v>0</v>
      </c>
    </row>
    <row r="359" spans="1:8" x14ac:dyDescent="0.25">
      <c r="A359" s="3" t="s">
        <v>729</v>
      </c>
      <c r="B359" s="3" t="s">
        <v>730</v>
      </c>
      <c r="C359" s="4">
        <v>345500</v>
      </c>
      <c r="D359" s="29">
        <v>0</v>
      </c>
      <c r="E359" s="32">
        <v>345500</v>
      </c>
      <c r="F359" s="29">
        <v>411145</v>
      </c>
      <c r="G359" s="32">
        <v>0</v>
      </c>
      <c r="H359" s="29">
        <v>0</v>
      </c>
    </row>
    <row r="360" spans="1:8" x14ac:dyDescent="0.25">
      <c r="A360" s="3" t="s">
        <v>731</v>
      </c>
      <c r="B360" s="3" t="s">
        <v>732</v>
      </c>
      <c r="C360" s="4">
        <v>35968609</v>
      </c>
      <c r="D360" s="29">
        <v>0</v>
      </c>
      <c r="E360" s="32">
        <v>27034949</v>
      </c>
      <c r="F360" s="29">
        <v>32171589.309999999</v>
      </c>
      <c r="G360" s="32">
        <v>1569147</v>
      </c>
      <c r="H360" s="29">
        <v>1867284.93</v>
      </c>
    </row>
    <row r="361" spans="1:8" x14ac:dyDescent="0.25">
      <c r="A361" s="3" t="s">
        <v>733</v>
      </c>
      <c r="B361" s="3" t="s">
        <v>734</v>
      </c>
      <c r="C361" s="4">
        <v>281278</v>
      </c>
      <c r="D361" s="29">
        <v>0</v>
      </c>
      <c r="E361" s="32">
        <v>281278</v>
      </c>
      <c r="F361" s="29">
        <v>334720.82</v>
      </c>
      <c r="G361" s="32">
        <v>114100</v>
      </c>
      <c r="H361" s="29">
        <v>135779</v>
      </c>
    </row>
    <row r="362" spans="1:8" x14ac:dyDescent="0.25">
      <c r="A362" s="3" t="s">
        <v>735</v>
      </c>
      <c r="B362" s="3" t="s">
        <v>736</v>
      </c>
      <c r="C362" s="4">
        <v>2200648</v>
      </c>
      <c r="D362" s="29">
        <v>0</v>
      </c>
      <c r="E362" s="32">
        <v>2200648</v>
      </c>
      <c r="F362" s="29">
        <v>2618771.12</v>
      </c>
      <c r="G362" s="32">
        <v>0</v>
      </c>
      <c r="H362" s="29">
        <v>0</v>
      </c>
    </row>
    <row r="363" spans="1:8" x14ac:dyDescent="0.25">
      <c r="A363" s="3" t="s">
        <v>737</v>
      </c>
      <c r="B363" s="3" t="s">
        <v>738</v>
      </c>
      <c r="C363" s="4">
        <v>1164520</v>
      </c>
      <c r="D363" s="29">
        <v>0</v>
      </c>
      <c r="E363" s="32">
        <v>1164520</v>
      </c>
      <c r="F363" s="29">
        <v>1385778.8</v>
      </c>
      <c r="G363" s="32">
        <v>0</v>
      </c>
      <c r="H363" s="29">
        <v>0</v>
      </c>
    </row>
    <row r="364" spans="1:8" x14ac:dyDescent="0.25">
      <c r="A364" s="3" t="s">
        <v>739</v>
      </c>
      <c r="B364" s="3" t="s">
        <v>740</v>
      </c>
      <c r="C364" s="4">
        <v>1217607</v>
      </c>
      <c r="D364" s="29">
        <v>0</v>
      </c>
      <c r="E364" s="32">
        <v>1217607</v>
      </c>
      <c r="F364" s="29">
        <v>1448952.33</v>
      </c>
      <c r="G364" s="32">
        <v>0</v>
      </c>
      <c r="H364" s="29">
        <v>0</v>
      </c>
    </row>
    <row r="365" spans="1:8" x14ac:dyDescent="0.25">
      <c r="A365" s="3" t="s">
        <v>741</v>
      </c>
      <c r="B365" s="3" t="s">
        <v>742</v>
      </c>
      <c r="C365" s="4">
        <v>848803</v>
      </c>
      <c r="D365" s="29">
        <v>0</v>
      </c>
      <c r="E365" s="32">
        <v>848803</v>
      </c>
      <c r="F365" s="29">
        <v>1010075.57</v>
      </c>
      <c r="G365" s="32">
        <v>0</v>
      </c>
      <c r="H365" s="29">
        <v>0</v>
      </c>
    </row>
    <row r="366" spans="1:8" x14ac:dyDescent="0.25">
      <c r="A366" s="3" t="s">
        <v>743</v>
      </c>
      <c r="B366" s="3" t="s">
        <v>744</v>
      </c>
      <c r="C366" s="4">
        <v>28656</v>
      </c>
      <c r="D366" s="29">
        <v>0</v>
      </c>
      <c r="E366" s="32">
        <v>28656</v>
      </c>
      <c r="F366" s="29">
        <v>34100.639999999999</v>
      </c>
      <c r="G366" s="32">
        <v>0</v>
      </c>
      <c r="H366" s="29">
        <v>0</v>
      </c>
    </row>
    <row r="367" spans="1:8" x14ac:dyDescent="0.25">
      <c r="A367" s="3" t="s">
        <v>745</v>
      </c>
      <c r="B367" s="3" t="s">
        <v>746</v>
      </c>
      <c r="C367" s="4">
        <v>2668153</v>
      </c>
      <c r="D367" s="29">
        <v>0</v>
      </c>
      <c r="E367" s="32">
        <v>2668153</v>
      </c>
      <c r="F367" s="29">
        <v>3175102.07</v>
      </c>
      <c r="G367" s="32">
        <v>0</v>
      </c>
      <c r="H367" s="29">
        <v>0</v>
      </c>
    </row>
    <row r="368" spans="1:8" x14ac:dyDescent="0.25">
      <c r="A368" s="3" t="s">
        <v>747</v>
      </c>
      <c r="B368" s="3" t="s">
        <v>748</v>
      </c>
      <c r="C368" s="4">
        <v>8698775</v>
      </c>
      <c r="D368" s="29">
        <v>0</v>
      </c>
      <c r="E368" s="32">
        <v>2675525</v>
      </c>
      <c r="F368" s="29">
        <v>3183874.75</v>
      </c>
      <c r="G368" s="32">
        <v>5940</v>
      </c>
      <c r="H368" s="29">
        <v>7068.6</v>
      </c>
    </row>
    <row r="369" spans="1:8" x14ac:dyDescent="0.25">
      <c r="A369" s="3" t="s">
        <v>749</v>
      </c>
      <c r="B369" s="3" t="s">
        <v>750</v>
      </c>
      <c r="C369" s="4">
        <v>106282593.40000001</v>
      </c>
      <c r="D369" s="29">
        <v>4441500</v>
      </c>
      <c r="E369" s="32">
        <v>99988613</v>
      </c>
      <c r="F369" s="29">
        <v>118958025.47</v>
      </c>
      <c r="G369" s="32">
        <v>8247016</v>
      </c>
      <c r="H369" s="29">
        <v>8247016</v>
      </c>
    </row>
    <row r="370" spans="1:8" x14ac:dyDescent="0.25">
      <c r="A370" s="3" t="s">
        <v>751</v>
      </c>
      <c r="B370" s="3" t="s">
        <v>752</v>
      </c>
      <c r="C370" s="4">
        <v>4782771</v>
      </c>
      <c r="D370" s="29">
        <v>0</v>
      </c>
      <c r="E370" s="32">
        <v>4782771</v>
      </c>
      <c r="F370" s="29">
        <v>5691497.4900000002</v>
      </c>
      <c r="G370" s="32">
        <v>0</v>
      </c>
      <c r="H370" s="29">
        <v>0</v>
      </c>
    </row>
    <row r="371" spans="1:8" x14ac:dyDescent="0.25">
      <c r="A371" s="3" t="s">
        <v>753</v>
      </c>
      <c r="B371" s="3" t="s">
        <v>754</v>
      </c>
      <c r="C371" s="4">
        <v>3747769</v>
      </c>
      <c r="D371" s="29">
        <v>0</v>
      </c>
      <c r="E371" s="32">
        <v>4344601</v>
      </c>
      <c r="F371" s="29">
        <v>5170075.1900000004</v>
      </c>
      <c r="G371" s="32">
        <v>0</v>
      </c>
      <c r="H371" s="29">
        <v>0</v>
      </c>
    </row>
    <row r="372" spans="1:8" x14ac:dyDescent="0.25">
      <c r="A372" s="3" t="s">
        <v>755</v>
      </c>
      <c r="B372" s="3" t="s">
        <v>756</v>
      </c>
      <c r="C372" s="4">
        <v>9331142</v>
      </c>
      <c r="D372" s="29">
        <v>0</v>
      </c>
      <c r="E372" s="32">
        <v>5674131</v>
      </c>
      <c r="F372" s="29">
        <v>6752215.8899999997</v>
      </c>
      <c r="G372" s="32">
        <v>0</v>
      </c>
      <c r="H372" s="29">
        <v>0</v>
      </c>
    </row>
    <row r="373" spans="1:8" x14ac:dyDescent="0.25">
      <c r="A373" s="3" t="s">
        <v>757</v>
      </c>
      <c r="B373" s="3" t="s">
        <v>758</v>
      </c>
      <c r="C373" s="4">
        <v>39260409</v>
      </c>
      <c r="D373" s="29">
        <v>0</v>
      </c>
      <c r="E373" s="32">
        <v>44126474</v>
      </c>
      <c r="F373" s="29">
        <v>52510234.640000001</v>
      </c>
      <c r="G373" s="32">
        <v>4624847</v>
      </c>
      <c r="H373" s="29">
        <v>4624847</v>
      </c>
    </row>
    <row r="374" spans="1:8" x14ac:dyDescent="0.25">
      <c r="A374" s="3" t="s">
        <v>759</v>
      </c>
      <c r="B374" s="3" t="s">
        <v>760</v>
      </c>
      <c r="C374" s="4">
        <v>217690</v>
      </c>
      <c r="D374" s="29">
        <v>0</v>
      </c>
      <c r="E374" s="32">
        <v>217690</v>
      </c>
      <c r="F374" s="29">
        <v>259051.1</v>
      </c>
      <c r="G374" s="32">
        <v>0</v>
      </c>
      <c r="H374" s="29">
        <v>0</v>
      </c>
    </row>
    <row r="375" spans="1:8" x14ac:dyDescent="0.25">
      <c r="A375" s="3" t="s">
        <v>761</v>
      </c>
      <c r="B375" s="3" t="s">
        <v>762</v>
      </c>
      <c r="C375" s="4">
        <v>2039080.5</v>
      </c>
      <c r="D375" s="29">
        <v>0</v>
      </c>
      <c r="E375" s="32">
        <v>1514080</v>
      </c>
      <c r="F375" s="29">
        <v>1801755.2</v>
      </c>
      <c r="G375" s="32">
        <v>0</v>
      </c>
      <c r="H375" s="29">
        <v>0</v>
      </c>
    </row>
    <row r="376" spans="1:8" x14ac:dyDescent="0.25">
      <c r="A376" s="3" t="s">
        <v>763</v>
      </c>
      <c r="B376" s="3" t="s">
        <v>764</v>
      </c>
      <c r="C376" s="4">
        <v>17611006</v>
      </c>
      <c r="D376" s="29">
        <v>0</v>
      </c>
      <c r="E376" s="32">
        <v>17610987</v>
      </c>
      <c r="F376" s="29">
        <v>20957074.530000001</v>
      </c>
      <c r="G376" s="32">
        <v>2800000</v>
      </c>
      <c r="H376" s="29">
        <v>3332000</v>
      </c>
    </row>
    <row r="377" spans="1:8" x14ac:dyDescent="0.25">
      <c r="A377" s="3" t="s">
        <v>765</v>
      </c>
      <c r="B377" s="3" t="s">
        <v>766</v>
      </c>
      <c r="C377" s="4">
        <v>199200</v>
      </c>
      <c r="D377" s="29">
        <v>0</v>
      </c>
      <c r="E377" s="32">
        <v>199200</v>
      </c>
      <c r="F377" s="29">
        <v>237048</v>
      </c>
      <c r="G377" s="32">
        <v>0</v>
      </c>
      <c r="H377" s="29">
        <v>0</v>
      </c>
    </row>
    <row r="378" spans="1:8" x14ac:dyDescent="0.25">
      <c r="A378" s="3" t="s">
        <v>767</v>
      </c>
      <c r="B378" s="3" t="s">
        <v>768</v>
      </c>
      <c r="C378" s="4">
        <v>16946463</v>
      </c>
      <c r="D378" s="29">
        <v>0</v>
      </c>
      <c r="E378" s="32">
        <v>19631663</v>
      </c>
      <c r="F378" s="29">
        <v>23361678.969999999</v>
      </c>
      <c r="G378" s="32">
        <v>0</v>
      </c>
      <c r="H378" s="29">
        <v>0</v>
      </c>
    </row>
    <row r="379" spans="1:8" x14ac:dyDescent="0.25">
      <c r="A379" s="3" t="s">
        <v>769</v>
      </c>
      <c r="B379" s="3" t="s">
        <v>770</v>
      </c>
      <c r="C379" s="4">
        <v>52337122</v>
      </c>
      <c r="D379" s="29">
        <v>5601930</v>
      </c>
      <c r="E379" s="32">
        <v>42068725</v>
      </c>
      <c r="F379" s="29">
        <v>49976662.75</v>
      </c>
      <c r="G379" s="32">
        <v>1704011</v>
      </c>
      <c r="H379" s="29">
        <v>1704011</v>
      </c>
    </row>
    <row r="380" spans="1:8" x14ac:dyDescent="0.25">
      <c r="A380" s="3" t="s">
        <v>771</v>
      </c>
      <c r="B380" s="3" t="s">
        <v>772</v>
      </c>
      <c r="C380" s="4">
        <v>27044426</v>
      </c>
      <c r="D380" s="29">
        <v>0</v>
      </c>
      <c r="E380" s="32">
        <v>34507318</v>
      </c>
      <c r="F380" s="29">
        <v>41063708.420000002</v>
      </c>
      <c r="G380" s="32">
        <v>2517030</v>
      </c>
      <c r="H380" s="29">
        <v>2749172.76</v>
      </c>
    </row>
    <row r="381" spans="1:8" x14ac:dyDescent="0.25">
      <c r="A381" s="3" t="s">
        <v>773</v>
      </c>
      <c r="B381" s="3" t="s">
        <v>774</v>
      </c>
      <c r="C381" s="4">
        <v>443226</v>
      </c>
      <c r="D381" s="29">
        <v>0</v>
      </c>
      <c r="E381" s="32">
        <v>593226</v>
      </c>
      <c r="F381" s="29">
        <v>705938.94</v>
      </c>
      <c r="G381" s="32">
        <v>0</v>
      </c>
      <c r="H381" s="29">
        <v>0</v>
      </c>
    </row>
    <row r="382" spans="1:8" x14ac:dyDescent="0.25">
      <c r="A382" s="3" t="s">
        <v>775</v>
      </c>
      <c r="B382" s="3" t="s">
        <v>776</v>
      </c>
      <c r="C382" s="4">
        <v>1668719</v>
      </c>
      <c r="D382" s="29">
        <v>0</v>
      </c>
      <c r="E382" s="32">
        <v>1668719</v>
      </c>
      <c r="F382" s="29">
        <v>1985775.61</v>
      </c>
      <c r="G382" s="32">
        <v>0</v>
      </c>
      <c r="H382" s="29">
        <v>0</v>
      </c>
    </row>
    <row r="383" spans="1:8" x14ac:dyDescent="0.25">
      <c r="A383" s="3" t="s">
        <v>777</v>
      </c>
      <c r="B383" s="3" t="s">
        <v>778</v>
      </c>
      <c r="C383" s="4">
        <v>14845691.01</v>
      </c>
      <c r="D383" s="29">
        <v>1.01</v>
      </c>
      <c r="E383" s="32">
        <v>14845690</v>
      </c>
      <c r="F383" s="29">
        <v>17666371.100000001</v>
      </c>
      <c r="G383" s="32">
        <v>111795</v>
      </c>
      <c r="H383" s="29">
        <v>111795</v>
      </c>
    </row>
    <row r="384" spans="1:8" x14ac:dyDescent="0.25">
      <c r="A384" s="3" t="s">
        <v>779</v>
      </c>
      <c r="B384" s="3" t="s">
        <v>780</v>
      </c>
      <c r="C384" s="4">
        <v>29664</v>
      </c>
      <c r="D384" s="29">
        <v>0</v>
      </c>
      <c r="E384" s="32">
        <v>29664</v>
      </c>
      <c r="F384" s="29">
        <v>35300.160000000003</v>
      </c>
      <c r="G384" s="32">
        <v>0</v>
      </c>
      <c r="H384" s="29">
        <v>0</v>
      </c>
    </row>
    <row r="385" spans="1:8" x14ac:dyDescent="0.25">
      <c r="A385" s="3" t="s">
        <v>781</v>
      </c>
      <c r="B385" s="3" t="s">
        <v>782</v>
      </c>
      <c r="C385" s="4">
        <v>0</v>
      </c>
      <c r="D385" s="29">
        <v>0</v>
      </c>
      <c r="E385" s="32">
        <v>256422</v>
      </c>
      <c r="F385" s="29">
        <v>305142.18</v>
      </c>
      <c r="G385" s="32">
        <v>0</v>
      </c>
      <c r="H385" s="29">
        <v>0</v>
      </c>
    </row>
    <row r="386" spans="1:8" x14ac:dyDescent="0.25">
      <c r="A386" s="3" t="s">
        <v>783</v>
      </c>
      <c r="B386" s="3" t="s">
        <v>784</v>
      </c>
      <c r="C386" s="4">
        <v>23328</v>
      </c>
      <c r="D386" s="29">
        <v>0</v>
      </c>
      <c r="E386" s="32">
        <v>23328</v>
      </c>
      <c r="F386" s="29">
        <v>27760.32</v>
      </c>
      <c r="G386" s="32">
        <v>0</v>
      </c>
      <c r="H386" s="29">
        <v>0</v>
      </c>
    </row>
    <row r="387" spans="1:8" x14ac:dyDescent="0.25">
      <c r="A387" s="3" t="s">
        <v>785</v>
      </c>
      <c r="B387" s="3" t="s">
        <v>786</v>
      </c>
      <c r="C387" s="4">
        <v>25092</v>
      </c>
      <c r="D387" s="29">
        <v>0</v>
      </c>
      <c r="E387" s="32">
        <v>25092</v>
      </c>
      <c r="F387" s="29">
        <v>29859.48</v>
      </c>
      <c r="G387" s="32">
        <v>922225</v>
      </c>
      <c r="H387" s="29">
        <v>922225</v>
      </c>
    </row>
    <row r="388" spans="1:8" x14ac:dyDescent="0.25">
      <c r="A388" s="3" t="s">
        <v>787</v>
      </c>
      <c r="B388" s="3" t="s">
        <v>788</v>
      </c>
      <c r="C388" s="4">
        <v>7425361</v>
      </c>
      <c r="D388" s="29">
        <v>0</v>
      </c>
      <c r="E388" s="32">
        <v>3762181</v>
      </c>
      <c r="F388" s="29">
        <v>4476995.3899999997</v>
      </c>
      <c r="G388" s="32">
        <v>0</v>
      </c>
      <c r="H388" s="29">
        <v>0</v>
      </c>
    </row>
    <row r="389" spans="1:8" x14ac:dyDescent="0.25">
      <c r="A389" s="3" t="s">
        <v>789</v>
      </c>
      <c r="B389" s="3" t="s">
        <v>790</v>
      </c>
      <c r="C389" s="4">
        <v>4941862</v>
      </c>
      <c r="D389" s="29">
        <v>0</v>
      </c>
      <c r="E389" s="32">
        <v>4941862</v>
      </c>
      <c r="F389" s="29">
        <v>5880815.7800000003</v>
      </c>
      <c r="G389" s="32">
        <v>0</v>
      </c>
      <c r="H389" s="29">
        <v>0</v>
      </c>
    </row>
    <row r="390" spans="1:8" x14ac:dyDescent="0.25">
      <c r="A390" s="3" t="s">
        <v>791</v>
      </c>
      <c r="B390" s="3" t="s">
        <v>792</v>
      </c>
      <c r="C390" s="4">
        <v>4752648</v>
      </c>
      <c r="D390" s="29">
        <v>0</v>
      </c>
      <c r="E390" s="32">
        <v>2879716</v>
      </c>
      <c r="F390" s="29">
        <v>3426862.04</v>
      </c>
      <c r="G390" s="32">
        <v>100000</v>
      </c>
      <c r="H390" s="29">
        <v>119000</v>
      </c>
    </row>
    <row r="391" spans="1:8" x14ac:dyDescent="0.25">
      <c r="A391" s="3" t="s">
        <v>793</v>
      </c>
      <c r="B391" s="3" t="s">
        <v>794</v>
      </c>
      <c r="C391" s="4">
        <v>84525149</v>
      </c>
      <c r="D391" s="29">
        <v>0</v>
      </c>
      <c r="E391" s="32">
        <v>91017029</v>
      </c>
      <c r="F391" s="29">
        <v>108310264.51000001</v>
      </c>
      <c r="G391" s="32">
        <v>334405</v>
      </c>
      <c r="H391" s="29">
        <v>334405</v>
      </c>
    </row>
    <row r="392" spans="1:8" x14ac:dyDescent="0.25">
      <c r="A392" s="3" t="s">
        <v>795</v>
      </c>
      <c r="B392" s="3" t="s">
        <v>796</v>
      </c>
      <c r="C392" s="4">
        <v>1742650</v>
      </c>
      <c r="D392" s="29">
        <v>0</v>
      </c>
      <c r="E392" s="32">
        <v>1742650</v>
      </c>
      <c r="F392" s="29">
        <v>2073753.5</v>
      </c>
      <c r="G392" s="32">
        <v>0</v>
      </c>
      <c r="H392" s="29">
        <v>0</v>
      </c>
    </row>
    <row r="393" spans="1:8" x14ac:dyDescent="0.25">
      <c r="A393" s="3" t="s">
        <v>797</v>
      </c>
      <c r="B393" s="3" t="s">
        <v>798</v>
      </c>
      <c r="C393" s="4">
        <v>109900</v>
      </c>
      <c r="D393" s="29">
        <v>0</v>
      </c>
      <c r="E393" s="32">
        <v>109900</v>
      </c>
      <c r="F393" s="29">
        <v>130781</v>
      </c>
      <c r="G393" s="32">
        <v>0</v>
      </c>
      <c r="H393" s="29">
        <v>0</v>
      </c>
    </row>
    <row r="394" spans="1:8" x14ac:dyDescent="0.25">
      <c r="A394" s="3" t="s">
        <v>799</v>
      </c>
      <c r="B394" s="3" t="s">
        <v>800</v>
      </c>
      <c r="C394" s="4">
        <v>285539</v>
      </c>
      <c r="D394" s="29">
        <v>0</v>
      </c>
      <c r="E394" s="32">
        <v>79619</v>
      </c>
      <c r="F394" s="29">
        <v>94746.61</v>
      </c>
      <c r="G394" s="32">
        <v>0</v>
      </c>
      <c r="H394" s="29">
        <v>0</v>
      </c>
    </row>
    <row r="395" spans="1:8" x14ac:dyDescent="0.25">
      <c r="A395" s="3" t="s">
        <v>801</v>
      </c>
      <c r="B395" s="3" t="s">
        <v>802</v>
      </c>
      <c r="C395" s="4">
        <v>2328756</v>
      </c>
      <c r="D395" s="29">
        <v>0</v>
      </c>
      <c r="E395" s="32">
        <v>2328756</v>
      </c>
      <c r="F395" s="29">
        <v>2771219.64</v>
      </c>
      <c r="G395" s="32">
        <v>0</v>
      </c>
      <c r="H395" s="29">
        <v>0</v>
      </c>
    </row>
    <row r="396" spans="1:8" x14ac:dyDescent="0.25">
      <c r="A396" s="3" t="s">
        <v>803</v>
      </c>
      <c r="B396" s="3" t="s">
        <v>804</v>
      </c>
      <c r="C396" s="4">
        <v>2345257</v>
      </c>
      <c r="D396" s="29">
        <v>0</v>
      </c>
      <c r="E396" s="32">
        <v>2345257</v>
      </c>
      <c r="F396" s="29">
        <v>2790855.83</v>
      </c>
      <c r="G396" s="32">
        <v>0</v>
      </c>
      <c r="H396" s="29">
        <v>0</v>
      </c>
    </row>
    <row r="397" spans="1:8" x14ac:dyDescent="0.25">
      <c r="A397" s="3" t="s">
        <v>805</v>
      </c>
      <c r="B397" s="3" t="s">
        <v>806</v>
      </c>
      <c r="C397" s="4">
        <v>4386348</v>
      </c>
      <c r="D397" s="29">
        <v>0</v>
      </c>
      <c r="E397" s="32">
        <v>4386348</v>
      </c>
      <c r="F397" s="29">
        <v>5219754.12</v>
      </c>
      <c r="G397" s="32">
        <v>0</v>
      </c>
      <c r="H397" s="29">
        <v>0</v>
      </c>
    </row>
    <row r="398" spans="1:8" x14ac:dyDescent="0.25">
      <c r="A398" s="3" t="s">
        <v>807</v>
      </c>
      <c r="B398" s="3" t="s">
        <v>808</v>
      </c>
      <c r="C398" s="4">
        <v>6456250</v>
      </c>
      <c r="D398" s="29">
        <v>0</v>
      </c>
      <c r="E398" s="32">
        <v>6456250</v>
      </c>
      <c r="F398" s="29">
        <v>7682937.5</v>
      </c>
      <c r="G398" s="32">
        <v>0</v>
      </c>
      <c r="H398" s="29">
        <v>0</v>
      </c>
    </row>
    <row r="399" spans="1:8" x14ac:dyDescent="0.25">
      <c r="A399" s="3" t="s">
        <v>809</v>
      </c>
      <c r="B399" s="3" t="s">
        <v>810</v>
      </c>
      <c r="C399" s="4">
        <v>0</v>
      </c>
      <c r="D399" s="29">
        <v>0</v>
      </c>
      <c r="E399" s="32">
        <v>1646000</v>
      </c>
      <c r="F399" s="29">
        <v>1958740</v>
      </c>
      <c r="G399" s="32">
        <v>0</v>
      </c>
      <c r="H399" s="29">
        <v>0</v>
      </c>
    </row>
    <row r="400" spans="1:8" x14ac:dyDescent="0.25">
      <c r="A400" s="3" t="s">
        <v>811</v>
      </c>
      <c r="B400" s="3" t="s">
        <v>812</v>
      </c>
      <c r="C400" s="4">
        <v>5313764</v>
      </c>
      <c r="D400" s="29">
        <v>0</v>
      </c>
      <c r="E400" s="32">
        <v>5313764</v>
      </c>
      <c r="F400" s="29">
        <v>6323379.1600000001</v>
      </c>
      <c r="G400" s="32">
        <v>0</v>
      </c>
      <c r="H400" s="29">
        <v>0</v>
      </c>
    </row>
    <row r="401" spans="1:8" x14ac:dyDescent="0.25">
      <c r="A401" s="3" t="s">
        <v>813</v>
      </c>
      <c r="B401" s="3" t="s">
        <v>814</v>
      </c>
      <c r="C401" s="4">
        <v>1699530</v>
      </c>
      <c r="D401" s="29">
        <v>0</v>
      </c>
      <c r="E401" s="32">
        <v>1699530</v>
      </c>
      <c r="F401" s="29">
        <v>2022440.7</v>
      </c>
      <c r="G401" s="32">
        <v>0</v>
      </c>
      <c r="H401" s="29">
        <v>0</v>
      </c>
    </row>
    <row r="402" spans="1:8" x14ac:dyDescent="0.25">
      <c r="A402" s="3" t="s">
        <v>815</v>
      </c>
      <c r="B402" s="3" t="s">
        <v>816</v>
      </c>
      <c r="C402" s="4">
        <v>129595.2</v>
      </c>
      <c r="D402" s="29">
        <v>0</v>
      </c>
      <c r="E402" s="32">
        <v>129595.2</v>
      </c>
      <c r="F402" s="29">
        <v>154218.29</v>
      </c>
      <c r="G402" s="32">
        <v>62155.199999999997</v>
      </c>
      <c r="H402" s="29">
        <v>73964.69</v>
      </c>
    </row>
    <row r="403" spans="1:8" x14ac:dyDescent="0.25">
      <c r="A403" s="3" t="s">
        <v>817</v>
      </c>
      <c r="B403" s="3" t="s">
        <v>818</v>
      </c>
      <c r="C403" s="4">
        <v>358777516</v>
      </c>
      <c r="D403" s="29">
        <v>8005500</v>
      </c>
      <c r="E403" s="32">
        <v>215572134</v>
      </c>
      <c r="F403" s="29">
        <v>256507513.91999999</v>
      </c>
      <c r="G403" s="32">
        <v>22502652</v>
      </c>
      <c r="H403" s="29">
        <v>22524293</v>
      </c>
    </row>
    <row r="404" spans="1:8" x14ac:dyDescent="0.25">
      <c r="A404" s="3" t="s">
        <v>819</v>
      </c>
      <c r="B404" s="3" t="s">
        <v>820</v>
      </c>
      <c r="C404" s="4">
        <v>3379279.5</v>
      </c>
      <c r="D404" s="29">
        <v>0</v>
      </c>
      <c r="E404" s="32">
        <v>3379275</v>
      </c>
      <c r="F404" s="29">
        <v>4021337.25</v>
      </c>
      <c r="G404" s="32">
        <v>0</v>
      </c>
      <c r="H404" s="29">
        <v>0</v>
      </c>
    </row>
    <row r="405" spans="1:8" x14ac:dyDescent="0.25">
      <c r="A405" s="3" t="s">
        <v>821</v>
      </c>
      <c r="B405" s="3" t="s">
        <v>822</v>
      </c>
      <c r="C405" s="4">
        <v>1095945</v>
      </c>
      <c r="D405" s="29">
        <v>0</v>
      </c>
      <c r="E405" s="32">
        <v>1095945</v>
      </c>
      <c r="F405" s="29">
        <v>1304174.55</v>
      </c>
      <c r="G405" s="32">
        <v>0</v>
      </c>
      <c r="H405" s="29">
        <v>0</v>
      </c>
    </row>
    <row r="406" spans="1:8" x14ac:dyDescent="0.25">
      <c r="A406" s="3" t="s">
        <v>823</v>
      </c>
      <c r="B406" s="3" t="s">
        <v>824</v>
      </c>
      <c r="C406" s="4">
        <v>166278290.30000001</v>
      </c>
      <c r="D406" s="29">
        <v>3802000</v>
      </c>
      <c r="E406" s="32">
        <v>104195198</v>
      </c>
      <c r="F406" s="29">
        <v>123992285.62</v>
      </c>
      <c r="G406" s="32">
        <v>7446313</v>
      </c>
      <c r="H406" s="29">
        <v>7468189.5999999996</v>
      </c>
    </row>
    <row r="407" spans="1:8" x14ac:dyDescent="0.25">
      <c r="A407" s="3" t="s">
        <v>825</v>
      </c>
      <c r="B407" s="3" t="s">
        <v>826</v>
      </c>
      <c r="C407" s="4">
        <v>14682</v>
      </c>
      <c r="D407" s="29">
        <v>0</v>
      </c>
      <c r="E407" s="32">
        <v>14682</v>
      </c>
      <c r="F407" s="29">
        <v>17471.580000000002</v>
      </c>
      <c r="G407" s="32">
        <v>0</v>
      </c>
      <c r="H407" s="29">
        <v>0</v>
      </c>
    </row>
    <row r="408" spans="1:8" x14ac:dyDescent="0.25">
      <c r="A408" s="3" t="s">
        <v>827</v>
      </c>
      <c r="B408" s="3" t="s">
        <v>828</v>
      </c>
      <c r="C408" s="4">
        <v>68081460</v>
      </c>
      <c r="D408" s="29">
        <v>5775000</v>
      </c>
      <c r="E408" s="32">
        <v>47357516</v>
      </c>
      <c r="F408" s="29">
        <v>56355444.039999999</v>
      </c>
      <c r="G408" s="32">
        <v>3413885</v>
      </c>
      <c r="H408" s="29">
        <v>3413885</v>
      </c>
    </row>
    <row r="409" spans="1:8" x14ac:dyDescent="0.25">
      <c r="A409" s="3" t="s">
        <v>829</v>
      </c>
      <c r="B409" s="3" t="s">
        <v>830</v>
      </c>
      <c r="C409" s="4">
        <v>86030</v>
      </c>
      <c r="D409" s="29">
        <v>0</v>
      </c>
      <c r="E409" s="32">
        <v>86030</v>
      </c>
      <c r="F409" s="29">
        <v>102375.7</v>
      </c>
      <c r="G409" s="32">
        <v>0</v>
      </c>
      <c r="H409" s="29">
        <v>0</v>
      </c>
    </row>
    <row r="410" spans="1:8" x14ac:dyDescent="0.25">
      <c r="A410" s="3" t="s">
        <v>831</v>
      </c>
      <c r="B410" s="3" t="s">
        <v>832</v>
      </c>
      <c r="C410" s="4">
        <v>0</v>
      </c>
      <c r="D410" s="29">
        <v>0</v>
      </c>
      <c r="E410" s="32">
        <v>1982500</v>
      </c>
      <c r="F410" s="29">
        <v>2359175</v>
      </c>
      <c r="G410" s="32">
        <v>0</v>
      </c>
      <c r="H410" s="29">
        <v>0</v>
      </c>
    </row>
    <row r="411" spans="1:8" x14ac:dyDescent="0.25">
      <c r="A411" s="3" t="s">
        <v>833</v>
      </c>
      <c r="B411" s="3" t="s">
        <v>834</v>
      </c>
      <c r="C411" s="4">
        <v>403450</v>
      </c>
      <c r="D411" s="29">
        <v>0</v>
      </c>
      <c r="E411" s="32">
        <v>403450</v>
      </c>
      <c r="F411" s="29">
        <v>480105.5</v>
      </c>
      <c r="G411" s="32">
        <v>0</v>
      </c>
      <c r="H411" s="29">
        <v>0</v>
      </c>
    </row>
    <row r="412" spans="1:8" x14ac:dyDescent="0.25">
      <c r="A412" s="3" t="s">
        <v>835</v>
      </c>
      <c r="B412" s="3" t="s">
        <v>836</v>
      </c>
      <c r="C412" s="4">
        <v>275050</v>
      </c>
      <c r="D412" s="29">
        <v>0</v>
      </c>
      <c r="E412" s="32">
        <v>58038273</v>
      </c>
      <c r="F412" s="29">
        <v>69065544.870000005</v>
      </c>
      <c r="G412" s="32">
        <v>303625</v>
      </c>
      <c r="H412" s="29">
        <v>319613.5</v>
      </c>
    </row>
    <row r="413" spans="1:8" x14ac:dyDescent="0.25">
      <c r="A413" s="3" t="s">
        <v>837</v>
      </c>
      <c r="B413" s="3" t="s">
        <v>838</v>
      </c>
      <c r="C413" s="4">
        <v>24021064</v>
      </c>
      <c r="D413" s="29">
        <v>703880</v>
      </c>
      <c r="E413" s="32">
        <v>23810772</v>
      </c>
      <c r="F413" s="29">
        <v>28334818.68</v>
      </c>
      <c r="G413" s="32">
        <v>4785020</v>
      </c>
      <c r="H413" s="29">
        <v>5633146.75</v>
      </c>
    </row>
    <row r="414" spans="1:8" x14ac:dyDescent="0.25">
      <c r="A414" s="3" t="s">
        <v>839</v>
      </c>
      <c r="B414" s="3" t="s">
        <v>840</v>
      </c>
      <c r="C414" s="4">
        <v>3673084</v>
      </c>
      <c r="D414" s="29">
        <v>0</v>
      </c>
      <c r="E414" s="32">
        <v>3673084</v>
      </c>
      <c r="F414" s="29">
        <v>4370969.96</v>
      </c>
      <c r="G414" s="32">
        <v>0</v>
      </c>
      <c r="H414" s="29">
        <v>0</v>
      </c>
    </row>
    <row r="415" spans="1:8" x14ac:dyDescent="0.25">
      <c r="A415" s="3" t="s">
        <v>841</v>
      </c>
      <c r="B415" s="3" t="s">
        <v>842</v>
      </c>
      <c r="C415" s="4">
        <v>46609269</v>
      </c>
      <c r="D415" s="29">
        <v>0</v>
      </c>
      <c r="E415" s="32">
        <v>109883827</v>
      </c>
      <c r="F415" s="29">
        <v>130749267.33</v>
      </c>
      <c r="G415" s="32">
        <v>4579604</v>
      </c>
      <c r="H415" s="29">
        <v>4579604</v>
      </c>
    </row>
    <row r="416" spans="1:8" x14ac:dyDescent="0.25">
      <c r="A416" s="3" t="s">
        <v>843</v>
      </c>
      <c r="B416" s="3" t="s">
        <v>844</v>
      </c>
      <c r="C416" s="4">
        <v>3896115.7</v>
      </c>
      <c r="D416" s="29">
        <v>0</v>
      </c>
      <c r="E416" s="32">
        <v>3896110</v>
      </c>
      <c r="F416" s="29">
        <v>4636370.9000000004</v>
      </c>
      <c r="G416" s="32">
        <v>0</v>
      </c>
      <c r="H416" s="29">
        <v>0</v>
      </c>
    </row>
    <row r="417" spans="1:8" x14ac:dyDescent="0.25">
      <c r="A417" s="3" t="s">
        <v>845</v>
      </c>
      <c r="B417" s="3" t="s">
        <v>846</v>
      </c>
      <c r="C417" s="4">
        <v>2916518</v>
      </c>
      <c r="D417" s="29">
        <v>0</v>
      </c>
      <c r="E417" s="32">
        <v>270918</v>
      </c>
      <c r="F417" s="29">
        <v>322392.42</v>
      </c>
      <c r="G417" s="32">
        <v>0</v>
      </c>
      <c r="H417" s="29">
        <v>0</v>
      </c>
    </row>
    <row r="418" spans="1:8" x14ac:dyDescent="0.25">
      <c r="A418" s="3" t="s">
        <v>847</v>
      </c>
      <c r="B418" s="3" t="s">
        <v>848</v>
      </c>
      <c r="C418" s="4">
        <v>1842400</v>
      </c>
      <c r="D418" s="29">
        <v>0</v>
      </c>
      <c r="E418" s="32">
        <v>1842400</v>
      </c>
      <c r="F418" s="29">
        <v>2192456</v>
      </c>
      <c r="G418" s="32">
        <v>0</v>
      </c>
      <c r="H418" s="29">
        <v>0</v>
      </c>
    </row>
    <row r="419" spans="1:8" x14ac:dyDescent="0.25">
      <c r="A419" s="3" t="s">
        <v>849</v>
      </c>
      <c r="B419" s="3" t="s">
        <v>850</v>
      </c>
      <c r="C419" s="4">
        <v>28079154</v>
      </c>
      <c r="D419" s="29">
        <v>0</v>
      </c>
      <c r="E419" s="32">
        <v>23808429</v>
      </c>
      <c r="F419" s="29">
        <v>28332030.510000002</v>
      </c>
      <c r="G419" s="32">
        <v>0</v>
      </c>
      <c r="H419" s="29">
        <v>0</v>
      </c>
    </row>
    <row r="420" spans="1:8" x14ac:dyDescent="0.25">
      <c r="A420" s="3" t="s">
        <v>851</v>
      </c>
      <c r="B420" s="3" t="s">
        <v>852</v>
      </c>
      <c r="C420" s="4">
        <v>8069642</v>
      </c>
      <c r="D420" s="29">
        <v>0</v>
      </c>
      <c r="E420" s="32">
        <v>4566438</v>
      </c>
      <c r="F420" s="29">
        <v>5434061.2199999997</v>
      </c>
      <c r="G420" s="32">
        <v>771996</v>
      </c>
      <c r="H420" s="29">
        <v>771996</v>
      </c>
    </row>
    <row r="421" spans="1:8" x14ac:dyDescent="0.25">
      <c r="A421" s="3" t="s">
        <v>853</v>
      </c>
      <c r="B421" s="3" t="s">
        <v>854</v>
      </c>
      <c r="C421" s="4">
        <v>111316880</v>
      </c>
      <c r="D421" s="29">
        <v>2281</v>
      </c>
      <c r="E421" s="32">
        <v>114214680</v>
      </c>
      <c r="F421" s="29">
        <v>135915469.19999999</v>
      </c>
      <c r="G421" s="32">
        <v>4090153</v>
      </c>
      <c r="H421" s="29">
        <v>4090153</v>
      </c>
    </row>
    <row r="422" spans="1:8" x14ac:dyDescent="0.25">
      <c r="A422" s="3" t="s">
        <v>855</v>
      </c>
      <c r="B422" s="3" t="s">
        <v>856</v>
      </c>
      <c r="C422" s="4">
        <v>6416382</v>
      </c>
      <c r="D422" s="29">
        <v>0</v>
      </c>
      <c r="E422" s="32">
        <v>6416382</v>
      </c>
      <c r="F422" s="29">
        <v>7635494.5800000001</v>
      </c>
      <c r="G422" s="32">
        <v>0</v>
      </c>
      <c r="H422" s="29">
        <v>0</v>
      </c>
    </row>
    <row r="423" spans="1:8" x14ac:dyDescent="0.25">
      <c r="A423" s="3" t="s">
        <v>857</v>
      </c>
      <c r="B423" s="3" t="s">
        <v>858</v>
      </c>
      <c r="C423" s="4">
        <v>17647007</v>
      </c>
      <c r="D423" s="29">
        <v>0</v>
      </c>
      <c r="E423" s="32">
        <v>17550575</v>
      </c>
      <c r="F423" s="29">
        <v>20867400.25</v>
      </c>
      <c r="G423" s="32">
        <v>0</v>
      </c>
      <c r="H423" s="29">
        <v>0</v>
      </c>
    </row>
    <row r="424" spans="1:8" x14ac:dyDescent="0.25">
      <c r="A424" s="3" t="s">
        <v>859</v>
      </c>
      <c r="B424" s="3" t="s">
        <v>860</v>
      </c>
      <c r="C424" s="4">
        <v>20099760</v>
      </c>
      <c r="D424" s="29">
        <v>1062400</v>
      </c>
      <c r="E424" s="32">
        <v>21549860</v>
      </c>
      <c r="F424" s="29">
        <v>25615339.399999999</v>
      </c>
      <c r="G424" s="32">
        <v>0</v>
      </c>
      <c r="H424" s="29">
        <v>0</v>
      </c>
    </row>
    <row r="425" spans="1:8" x14ac:dyDescent="0.25">
      <c r="A425" s="3" t="s">
        <v>861</v>
      </c>
      <c r="B425" s="3" t="s">
        <v>862</v>
      </c>
      <c r="C425" s="4">
        <v>58753745</v>
      </c>
      <c r="D425" s="29">
        <v>0</v>
      </c>
      <c r="E425" s="32">
        <v>50841384</v>
      </c>
      <c r="F425" s="29">
        <v>60501246.960000001</v>
      </c>
      <c r="G425" s="32">
        <v>922424</v>
      </c>
      <c r="H425" s="29">
        <v>922424</v>
      </c>
    </row>
    <row r="426" spans="1:8" x14ac:dyDescent="0.25">
      <c r="A426" s="3" t="s">
        <v>863</v>
      </c>
      <c r="B426" s="3" t="s">
        <v>864</v>
      </c>
      <c r="C426" s="4">
        <v>2303466</v>
      </c>
      <c r="D426" s="29">
        <v>0</v>
      </c>
      <c r="E426" s="32">
        <v>1230033</v>
      </c>
      <c r="F426" s="29">
        <v>1463739.27</v>
      </c>
      <c r="G426" s="32">
        <v>601970</v>
      </c>
      <c r="H426" s="29">
        <v>601970</v>
      </c>
    </row>
    <row r="427" spans="1:8" x14ac:dyDescent="0.25">
      <c r="A427" s="3" t="s">
        <v>865</v>
      </c>
      <c r="B427" s="3" t="s">
        <v>866</v>
      </c>
      <c r="C427" s="4">
        <v>78950</v>
      </c>
      <c r="D427" s="29">
        <v>0</v>
      </c>
      <c r="E427" s="32">
        <v>78950</v>
      </c>
      <c r="F427" s="29">
        <v>93950.5</v>
      </c>
      <c r="G427" s="32">
        <v>0</v>
      </c>
      <c r="H427" s="29">
        <v>0</v>
      </c>
    </row>
    <row r="428" spans="1:8" x14ac:dyDescent="0.25">
      <c r="A428" s="3" t="s">
        <v>867</v>
      </c>
      <c r="B428" s="3" t="s">
        <v>868</v>
      </c>
      <c r="C428" s="4">
        <v>14916555</v>
      </c>
      <c r="D428" s="29">
        <v>0</v>
      </c>
      <c r="E428" s="32">
        <v>11218355</v>
      </c>
      <c r="F428" s="29">
        <v>13121842.449999999</v>
      </c>
      <c r="G428" s="32">
        <v>0</v>
      </c>
      <c r="H428" s="29">
        <v>0</v>
      </c>
    </row>
    <row r="429" spans="1:8" x14ac:dyDescent="0.25">
      <c r="A429" s="3" t="s">
        <v>869</v>
      </c>
      <c r="B429" s="3" t="s">
        <v>870</v>
      </c>
      <c r="C429" s="4">
        <v>24214564</v>
      </c>
      <c r="D429" s="29">
        <v>1132600</v>
      </c>
      <c r="E429" s="32">
        <v>26822767</v>
      </c>
      <c r="F429" s="29">
        <v>31804672.829999998</v>
      </c>
      <c r="G429" s="32">
        <v>851400</v>
      </c>
      <c r="H429" s="29">
        <v>851400</v>
      </c>
    </row>
    <row r="430" spans="1:8" x14ac:dyDescent="0.25">
      <c r="A430" s="3" t="s">
        <v>871</v>
      </c>
      <c r="B430" s="3" t="s">
        <v>872</v>
      </c>
      <c r="C430" s="4">
        <v>329760</v>
      </c>
      <c r="D430" s="29">
        <v>0</v>
      </c>
      <c r="E430" s="32">
        <v>329760</v>
      </c>
      <c r="F430" s="29">
        <v>392414.4</v>
      </c>
      <c r="G430" s="32">
        <v>0</v>
      </c>
      <c r="H430" s="29">
        <v>0</v>
      </c>
    </row>
    <row r="431" spans="1:8" x14ac:dyDescent="0.25">
      <c r="A431" s="3" t="s">
        <v>873</v>
      </c>
      <c r="B431" s="3" t="s">
        <v>874</v>
      </c>
      <c r="C431" s="4">
        <v>8880110</v>
      </c>
      <c r="D431" s="29">
        <v>0</v>
      </c>
      <c r="E431" s="32">
        <v>10401128</v>
      </c>
      <c r="F431" s="29">
        <v>12377342.32</v>
      </c>
      <c r="G431" s="32">
        <v>356400</v>
      </c>
      <c r="H431" s="29">
        <v>356400</v>
      </c>
    </row>
    <row r="432" spans="1:8" x14ac:dyDescent="0.25">
      <c r="A432" s="3" t="s">
        <v>875</v>
      </c>
      <c r="B432" s="3" t="s">
        <v>876</v>
      </c>
      <c r="C432" s="4">
        <v>9612501</v>
      </c>
      <c r="D432" s="29">
        <v>0</v>
      </c>
      <c r="E432" s="32">
        <v>9612501</v>
      </c>
      <c r="F432" s="29">
        <v>11438876.189999999</v>
      </c>
      <c r="G432" s="32">
        <v>0</v>
      </c>
      <c r="H432" s="29">
        <v>0</v>
      </c>
    </row>
    <row r="433" spans="1:8" x14ac:dyDescent="0.25">
      <c r="A433" s="3" t="s">
        <v>877</v>
      </c>
      <c r="B433" s="3" t="s">
        <v>878</v>
      </c>
      <c r="C433" s="4">
        <v>5371650</v>
      </c>
      <c r="D433" s="29">
        <v>0</v>
      </c>
      <c r="E433" s="32">
        <v>5129395</v>
      </c>
      <c r="F433" s="29">
        <v>6103980.0499999998</v>
      </c>
      <c r="G433" s="32">
        <v>0</v>
      </c>
      <c r="H433" s="29">
        <v>0</v>
      </c>
    </row>
    <row r="434" spans="1:8" x14ac:dyDescent="0.25">
      <c r="A434" s="3" t="s">
        <v>879</v>
      </c>
      <c r="B434" s="3" t="s">
        <v>880</v>
      </c>
      <c r="C434" s="4">
        <v>886553</v>
      </c>
      <c r="D434" s="29">
        <v>0</v>
      </c>
      <c r="E434" s="32">
        <v>886553</v>
      </c>
      <c r="F434" s="29">
        <v>1054998.07</v>
      </c>
      <c r="G434" s="32">
        <v>0</v>
      </c>
      <c r="H434" s="29">
        <v>0</v>
      </c>
    </row>
    <row r="435" spans="1:8" x14ac:dyDescent="0.25">
      <c r="A435" s="3" t="s">
        <v>881</v>
      </c>
      <c r="B435" s="3" t="s">
        <v>882</v>
      </c>
      <c r="C435" s="4">
        <v>2056800</v>
      </c>
      <c r="D435" s="29">
        <v>0</v>
      </c>
      <c r="E435" s="32">
        <v>2056800</v>
      </c>
      <c r="F435" s="29">
        <v>2447592</v>
      </c>
      <c r="G435" s="32">
        <v>0</v>
      </c>
      <c r="H435" s="29">
        <v>0</v>
      </c>
    </row>
    <row r="436" spans="1:8" x14ac:dyDescent="0.25">
      <c r="A436" s="3" t="s">
        <v>883</v>
      </c>
      <c r="B436" s="3" t="s">
        <v>884</v>
      </c>
      <c r="C436" s="4">
        <v>2996890</v>
      </c>
      <c r="D436" s="29">
        <v>0</v>
      </c>
      <c r="E436" s="32">
        <v>2996890</v>
      </c>
      <c r="F436" s="29">
        <v>3566299.1</v>
      </c>
      <c r="G436" s="32">
        <v>0</v>
      </c>
      <c r="H436" s="29">
        <v>0</v>
      </c>
    </row>
    <row r="437" spans="1:8" x14ac:dyDescent="0.25">
      <c r="A437" s="3" t="s">
        <v>885</v>
      </c>
      <c r="B437" s="3" t="s">
        <v>886</v>
      </c>
      <c r="C437" s="4">
        <v>1315597</v>
      </c>
      <c r="D437" s="29">
        <v>0</v>
      </c>
      <c r="E437" s="32">
        <v>1315597</v>
      </c>
      <c r="F437" s="29">
        <v>1565560.43</v>
      </c>
      <c r="G437" s="32">
        <v>53909</v>
      </c>
      <c r="H437" s="29">
        <v>64151.71</v>
      </c>
    </row>
    <row r="438" spans="1:8" x14ac:dyDescent="0.25">
      <c r="A438" s="3" t="s">
        <v>887</v>
      </c>
      <c r="B438" s="3" t="s">
        <v>888</v>
      </c>
      <c r="C438" s="4">
        <v>150844</v>
      </c>
      <c r="D438" s="29">
        <v>0</v>
      </c>
      <c r="E438" s="32">
        <v>150844</v>
      </c>
      <c r="F438" s="29">
        <v>179504.36</v>
      </c>
      <c r="G438" s="32">
        <v>0</v>
      </c>
      <c r="H438" s="29">
        <v>0</v>
      </c>
    </row>
    <row r="439" spans="1:8" x14ac:dyDescent="0.25">
      <c r="A439" s="3" t="s">
        <v>889</v>
      </c>
      <c r="B439" s="3" t="s">
        <v>890</v>
      </c>
      <c r="C439" s="4">
        <v>7631646.4000000004</v>
      </c>
      <c r="D439" s="29">
        <v>0</v>
      </c>
      <c r="E439" s="32">
        <v>7631640</v>
      </c>
      <c r="F439" s="29">
        <v>9081651.5999999996</v>
      </c>
      <c r="G439" s="32">
        <v>0</v>
      </c>
      <c r="H439" s="29">
        <v>0</v>
      </c>
    </row>
    <row r="440" spans="1:8" x14ac:dyDescent="0.25">
      <c r="A440" s="3" t="s">
        <v>891</v>
      </c>
      <c r="B440" s="3" t="s">
        <v>892</v>
      </c>
      <c r="C440" s="4">
        <v>19632857.629999999</v>
      </c>
      <c r="D440" s="29">
        <v>431</v>
      </c>
      <c r="E440" s="32">
        <v>14416654</v>
      </c>
      <c r="F440" s="29">
        <v>17155818.260000002</v>
      </c>
      <c r="G440" s="32">
        <v>2264315</v>
      </c>
      <c r="H440" s="29">
        <v>2617996.58</v>
      </c>
    </row>
    <row r="441" spans="1:8" x14ac:dyDescent="0.25">
      <c r="A441" s="3" t="s">
        <v>893</v>
      </c>
      <c r="B441" s="3" t="s">
        <v>894</v>
      </c>
      <c r="C441" s="4">
        <v>234960</v>
      </c>
      <c r="D441" s="29">
        <v>0</v>
      </c>
      <c r="E441" s="32">
        <v>234960</v>
      </c>
      <c r="F441" s="29">
        <v>279602.40000000002</v>
      </c>
      <c r="G441" s="32">
        <v>0</v>
      </c>
      <c r="H441" s="29">
        <v>0</v>
      </c>
    </row>
    <row r="442" spans="1:8" x14ac:dyDescent="0.25">
      <c r="A442" s="3" t="s">
        <v>895</v>
      </c>
      <c r="B442" s="3" t="s">
        <v>896</v>
      </c>
      <c r="C442" s="4">
        <v>2968070</v>
      </c>
      <c r="D442" s="29">
        <v>0</v>
      </c>
      <c r="E442" s="32">
        <v>3651130</v>
      </c>
      <c r="F442" s="29">
        <v>4344844.7</v>
      </c>
      <c r="G442" s="32">
        <v>130540</v>
      </c>
      <c r="H442" s="29">
        <v>130540</v>
      </c>
    </row>
    <row r="443" spans="1:8" x14ac:dyDescent="0.25">
      <c r="A443" s="3" t="s">
        <v>897</v>
      </c>
      <c r="B443" s="3" t="s">
        <v>898</v>
      </c>
      <c r="C443" s="4">
        <v>33302</v>
      </c>
      <c r="D443" s="29">
        <v>0</v>
      </c>
      <c r="E443" s="32">
        <v>33302</v>
      </c>
      <c r="F443" s="29">
        <v>39629.379999999997</v>
      </c>
      <c r="G443" s="32">
        <v>0</v>
      </c>
      <c r="H443" s="29">
        <v>0</v>
      </c>
    </row>
    <row r="444" spans="1:8" x14ac:dyDescent="0.25">
      <c r="A444" s="3" t="s">
        <v>899</v>
      </c>
      <c r="B444" s="3" t="s">
        <v>900</v>
      </c>
      <c r="C444" s="4">
        <v>0</v>
      </c>
      <c r="D444" s="29">
        <v>0</v>
      </c>
      <c r="E444" s="32">
        <v>78500160</v>
      </c>
      <c r="F444" s="29">
        <v>93415190.400000006</v>
      </c>
      <c r="G444" s="32">
        <v>59975100</v>
      </c>
      <c r="H444" s="29">
        <v>71370369</v>
      </c>
    </row>
    <row r="445" spans="1:8" x14ac:dyDescent="0.25">
      <c r="A445" s="3" t="s">
        <v>901</v>
      </c>
      <c r="B445" s="3" t="s">
        <v>902</v>
      </c>
      <c r="C445" s="4">
        <v>22547034.02</v>
      </c>
      <c r="D445" s="29">
        <v>0</v>
      </c>
      <c r="E445" s="32">
        <v>37299209</v>
      </c>
      <c r="F445" s="29">
        <v>44363828.710000001</v>
      </c>
      <c r="G445" s="32">
        <v>166555</v>
      </c>
      <c r="H445" s="29">
        <v>166555</v>
      </c>
    </row>
    <row r="446" spans="1:8" x14ac:dyDescent="0.25">
      <c r="A446" s="3" t="s">
        <v>903</v>
      </c>
      <c r="B446" s="3" t="s">
        <v>904</v>
      </c>
      <c r="C446" s="4">
        <v>31723576</v>
      </c>
      <c r="D446" s="29">
        <v>0</v>
      </c>
      <c r="E446" s="32">
        <v>30047956</v>
      </c>
      <c r="F446" s="29">
        <v>35757067.640000001</v>
      </c>
      <c r="G446" s="32">
        <v>0</v>
      </c>
      <c r="H446" s="29">
        <v>0</v>
      </c>
    </row>
    <row r="447" spans="1:8" x14ac:dyDescent="0.25">
      <c r="A447" s="3" t="s">
        <v>905</v>
      </c>
      <c r="B447" s="3" t="s">
        <v>906</v>
      </c>
      <c r="C447" s="4">
        <v>6235</v>
      </c>
      <c r="D447" s="29">
        <v>0</v>
      </c>
      <c r="E447" s="32">
        <v>6235</v>
      </c>
      <c r="F447" s="29">
        <v>7419.65</v>
      </c>
      <c r="G447" s="32">
        <v>0</v>
      </c>
      <c r="H447" s="29">
        <v>0</v>
      </c>
    </row>
    <row r="448" spans="1:8" x14ac:dyDescent="0.25">
      <c r="A448" s="3" t="s">
        <v>907</v>
      </c>
      <c r="B448" s="3" t="s">
        <v>908</v>
      </c>
      <c r="C448" s="4">
        <v>0</v>
      </c>
      <c r="D448" s="29">
        <v>0</v>
      </c>
      <c r="E448" s="32">
        <v>0</v>
      </c>
      <c r="F448" s="29">
        <v>0</v>
      </c>
      <c r="G448" s="32">
        <v>458865</v>
      </c>
      <c r="H448" s="29">
        <v>546049.35</v>
      </c>
    </row>
    <row r="449" spans="1:8" x14ac:dyDescent="0.25">
      <c r="A449" s="3" t="s">
        <v>909</v>
      </c>
      <c r="B449" s="3" t="s">
        <v>910</v>
      </c>
      <c r="C449" s="4">
        <v>8331816</v>
      </c>
      <c r="D449" s="29">
        <v>0</v>
      </c>
      <c r="E449" s="32">
        <v>7931498</v>
      </c>
      <c r="F449" s="29">
        <v>9438482.6199999992</v>
      </c>
      <c r="G449" s="32">
        <v>0</v>
      </c>
      <c r="H449" s="29">
        <v>0</v>
      </c>
    </row>
    <row r="450" spans="1:8" x14ac:dyDescent="0.25">
      <c r="A450" s="3" t="s">
        <v>911</v>
      </c>
      <c r="B450" s="3" t="s">
        <v>912</v>
      </c>
      <c r="C450" s="4">
        <v>3011948</v>
      </c>
      <c r="D450" s="29">
        <v>0</v>
      </c>
      <c r="E450" s="32">
        <v>3011948</v>
      </c>
      <c r="F450" s="29">
        <v>3584218.12</v>
      </c>
      <c r="G450" s="32">
        <v>0</v>
      </c>
      <c r="H450" s="29">
        <v>0</v>
      </c>
    </row>
    <row r="451" spans="1:8" x14ac:dyDescent="0.25">
      <c r="A451" s="3" t="s">
        <v>913</v>
      </c>
      <c r="B451" s="3" t="s">
        <v>914</v>
      </c>
      <c r="C451" s="4">
        <v>25581724</v>
      </c>
      <c r="D451" s="29">
        <v>0</v>
      </c>
      <c r="E451" s="32">
        <v>25581724</v>
      </c>
      <c r="F451" s="29">
        <v>30442251.559999999</v>
      </c>
      <c r="G451" s="32">
        <v>533238</v>
      </c>
      <c r="H451" s="29">
        <v>565840.67000000004</v>
      </c>
    </row>
    <row r="452" spans="1:8" x14ac:dyDescent="0.25">
      <c r="A452" s="3" t="s">
        <v>915</v>
      </c>
      <c r="B452" s="3" t="s">
        <v>916</v>
      </c>
      <c r="C452" s="4">
        <v>3330000</v>
      </c>
      <c r="D452" s="29">
        <v>0</v>
      </c>
      <c r="E452" s="32">
        <v>3330000</v>
      </c>
      <c r="F452" s="29">
        <v>3962700</v>
      </c>
      <c r="G452" s="32">
        <v>0</v>
      </c>
      <c r="H452" s="29">
        <v>0</v>
      </c>
    </row>
    <row r="453" spans="1:8" x14ac:dyDescent="0.25">
      <c r="A453" s="3" t="s">
        <v>917</v>
      </c>
      <c r="B453" s="3" t="s">
        <v>918</v>
      </c>
      <c r="C453" s="4">
        <v>3330527</v>
      </c>
      <c r="D453" s="29">
        <v>0</v>
      </c>
      <c r="E453" s="32">
        <v>2602967</v>
      </c>
      <c r="F453" s="29">
        <v>3097530.73</v>
      </c>
      <c r="G453" s="32">
        <v>157682</v>
      </c>
      <c r="H453" s="29">
        <v>187641.58</v>
      </c>
    </row>
    <row r="454" spans="1:8" x14ac:dyDescent="0.25">
      <c r="A454" s="3" t="s">
        <v>919</v>
      </c>
      <c r="B454" s="3" t="s">
        <v>920</v>
      </c>
      <c r="C454" s="4">
        <v>150867918.5</v>
      </c>
      <c r="D454" s="29">
        <v>4450500</v>
      </c>
      <c r="E454" s="32">
        <v>144429382</v>
      </c>
      <c r="F454" s="29">
        <v>171316924.58000001</v>
      </c>
      <c r="G454" s="32">
        <v>2278757</v>
      </c>
      <c r="H454" s="29">
        <v>2278757</v>
      </c>
    </row>
    <row r="455" spans="1:8" x14ac:dyDescent="0.25">
      <c r="A455" s="3" t="s">
        <v>921</v>
      </c>
      <c r="B455" s="3" t="s">
        <v>922</v>
      </c>
      <c r="C455" s="4">
        <v>12252590</v>
      </c>
      <c r="D455" s="29">
        <v>0</v>
      </c>
      <c r="E455" s="32">
        <v>12252586</v>
      </c>
      <c r="F455" s="29">
        <v>14580577.34</v>
      </c>
      <c r="G455" s="32">
        <v>0</v>
      </c>
      <c r="H455" s="29">
        <v>0</v>
      </c>
    </row>
    <row r="456" spans="1:8" x14ac:dyDescent="0.25">
      <c r="A456" s="3" t="s">
        <v>923</v>
      </c>
      <c r="B456" s="3" t="s">
        <v>924</v>
      </c>
      <c r="C456" s="4">
        <v>4387362</v>
      </c>
      <c r="D456" s="29">
        <v>0</v>
      </c>
      <c r="E456" s="32">
        <v>4387362</v>
      </c>
      <c r="F456" s="29">
        <v>5220960.78</v>
      </c>
      <c r="G456" s="32">
        <v>309952</v>
      </c>
      <c r="H456" s="29">
        <v>309952</v>
      </c>
    </row>
    <row r="457" spans="1:8" x14ac:dyDescent="0.25">
      <c r="A457" s="3" t="s">
        <v>925</v>
      </c>
      <c r="B457" s="3" t="s">
        <v>926</v>
      </c>
      <c r="C457" s="4">
        <v>11424</v>
      </c>
      <c r="D457" s="29">
        <v>0</v>
      </c>
      <c r="E457" s="32">
        <v>11424</v>
      </c>
      <c r="F457" s="29">
        <v>13594.56</v>
      </c>
      <c r="G457" s="32">
        <v>0</v>
      </c>
      <c r="H457" s="29">
        <v>0</v>
      </c>
    </row>
    <row r="458" spans="1:8" x14ac:dyDescent="0.25">
      <c r="A458" s="3" t="s">
        <v>927</v>
      </c>
      <c r="B458" s="3" t="s">
        <v>928</v>
      </c>
      <c r="C458" s="4">
        <v>37457724.020000003</v>
      </c>
      <c r="D458" s="29">
        <v>763436</v>
      </c>
      <c r="E458" s="32">
        <v>32031018</v>
      </c>
      <c r="F458" s="29">
        <v>38116911.420000002</v>
      </c>
      <c r="G458" s="32">
        <v>2211042</v>
      </c>
      <c r="H458" s="29">
        <v>2211042</v>
      </c>
    </row>
    <row r="459" spans="1:8" x14ac:dyDescent="0.25">
      <c r="A459" s="3" t="s">
        <v>929</v>
      </c>
      <c r="B459" s="3" t="s">
        <v>930</v>
      </c>
      <c r="C459" s="4">
        <v>9386228.5700000003</v>
      </c>
      <c r="D459" s="29">
        <v>552</v>
      </c>
      <c r="E459" s="32">
        <v>9385667</v>
      </c>
      <c r="F459" s="29">
        <v>11168943.73</v>
      </c>
      <c r="G459" s="32">
        <v>0</v>
      </c>
      <c r="H459" s="29">
        <v>0</v>
      </c>
    </row>
    <row r="460" spans="1:8" x14ac:dyDescent="0.25">
      <c r="A460" s="3" t="s">
        <v>931</v>
      </c>
      <c r="B460" s="3" t="s">
        <v>932</v>
      </c>
      <c r="C460" s="4">
        <v>15922869.01</v>
      </c>
      <c r="D460" s="29">
        <v>0</v>
      </c>
      <c r="E460" s="32">
        <v>35143890</v>
      </c>
      <c r="F460" s="29">
        <v>41821229.100000001</v>
      </c>
      <c r="G460" s="32">
        <v>136219</v>
      </c>
      <c r="H460" s="29">
        <v>136219</v>
      </c>
    </row>
    <row r="461" spans="1:8" x14ac:dyDescent="0.25">
      <c r="A461" s="3" t="s">
        <v>933</v>
      </c>
      <c r="B461" s="3" t="s">
        <v>934</v>
      </c>
      <c r="C461" s="4">
        <v>5553660</v>
      </c>
      <c r="D461" s="29">
        <v>0</v>
      </c>
      <c r="E461" s="32">
        <v>6158160</v>
      </c>
      <c r="F461" s="29">
        <v>7328210.4000000004</v>
      </c>
      <c r="G461" s="32">
        <v>2850</v>
      </c>
      <c r="H461" s="29">
        <v>3391.5</v>
      </c>
    </row>
    <row r="462" spans="1:8" x14ac:dyDescent="0.25">
      <c r="A462" s="3" t="s">
        <v>935</v>
      </c>
      <c r="B462" s="3" t="s">
        <v>936</v>
      </c>
      <c r="C462" s="4">
        <v>7757845</v>
      </c>
      <c r="D462" s="29">
        <v>648600</v>
      </c>
      <c r="E462" s="32">
        <v>6461105</v>
      </c>
      <c r="F462" s="29">
        <v>7688714.9500000002</v>
      </c>
      <c r="G462" s="32">
        <v>279295</v>
      </c>
      <c r="H462" s="29">
        <v>279295</v>
      </c>
    </row>
    <row r="463" spans="1:8" x14ac:dyDescent="0.25">
      <c r="A463" s="3" t="s">
        <v>937</v>
      </c>
      <c r="B463" s="3" t="s">
        <v>938</v>
      </c>
      <c r="C463" s="4">
        <v>7282</v>
      </c>
      <c r="D463" s="29">
        <v>0</v>
      </c>
      <c r="E463" s="32">
        <v>7282</v>
      </c>
      <c r="F463" s="29">
        <v>8665.58</v>
      </c>
      <c r="G463" s="32">
        <v>0</v>
      </c>
      <c r="H463" s="29">
        <v>0</v>
      </c>
    </row>
    <row r="464" spans="1:8" x14ac:dyDescent="0.25">
      <c r="A464" s="3" t="s">
        <v>939</v>
      </c>
      <c r="B464" s="3" t="s">
        <v>940</v>
      </c>
      <c r="C464" s="4">
        <v>8710946</v>
      </c>
      <c r="D464" s="29">
        <v>97300</v>
      </c>
      <c r="E464" s="32">
        <v>8613646</v>
      </c>
      <c r="F464" s="29">
        <v>10250238.74</v>
      </c>
      <c r="G464" s="32">
        <v>0</v>
      </c>
      <c r="H464" s="29">
        <v>0</v>
      </c>
    </row>
    <row r="465" spans="1:8" x14ac:dyDescent="0.25">
      <c r="A465" s="3" t="s">
        <v>941</v>
      </c>
      <c r="B465" s="3" t="s">
        <v>942</v>
      </c>
      <c r="C465" s="4">
        <v>5398311</v>
      </c>
      <c r="D465" s="29">
        <v>4557250</v>
      </c>
      <c r="E465" s="32">
        <v>2018031</v>
      </c>
      <c r="F465" s="29">
        <v>2401456.89</v>
      </c>
      <c r="G465" s="32">
        <v>0</v>
      </c>
      <c r="H465" s="29">
        <v>0</v>
      </c>
    </row>
    <row r="466" spans="1:8" x14ac:dyDescent="0.25">
      <c r="A466" s="3" t="s">
        <v>943</v>
      </c>
      <c r="B466" s="3" t="s">
        <v>944</v>
      </c>
      <c r="C466" s="4">
        <v>6200795</v>
      </c>
      <c r="D466" s="29">
        <v>0</v>
      </c>
      <c r="E466" s="32">
        <v>3623085</v>
      </c>
      <c r="F466" s="29">
        <v>4311471.1500000004</v>
      </c>
      <c r="G466" s="32">
        <v>365195</v>
      </c>
      <c r="H466" s="29">
        <v>370834.58</v>
      </c>
    </row>
    <row r="467" spans="1:8" x14ac:dyDescent="0.25">
      <c r="A467" s="3" t="s">
        <v>945</v>
      </c>
      <c r="B467" s="3" t="s">
        <v>946</v>
      </c>
      <c r="C467" s="4">
        <v>931000</v>
      </c>
      <c r="D467" s="29">
        <v>0</v>
      </c>
      <c r="E467" s="32">
        <v>931000</v>
      </c>
      <c r="F467" s="29">
        <v>1107890</v>
      </c>
      <c r="G467" s="32">
        <v>0</v>
      </c>
      <c r="H467" s="29">
        <v>0</v>
      </c>
    </row>
    <row r="468" spans="1:8" x14ac:dyDescent="0.25">
      <c r="A468" s="3" t="s">
        <v>947</v>
      </c>
      <c r="B468" s="3" t="s">
        <v>948</v>
      </c>
      <c r="C468" s="4">
        <v>6402802.2000000002</v>
      </c>
      <c r="D468" s="29">
        <v>0</v>
      </c>
      <c r="E468" s="32">
        <v>6402802.2000000002</v>
      </c>
      <c r="F468" s="29">
        <v>7619334.6200000001</v>
      </c>
      <c r="G468" s="32">
        <v>0</v>
      </c>
      <c r="H468" s="29">
        <v>0</v>
      </c>
    </row>
    <row r="469" spans="1:8" x14ac:dyDescent="0.25">
      <c r="A469" s="3" t="s">
        <v>949</v>
      </c>
      <c r="B469" s="3" t="s">
        <v>950</v>
      </c>
      <c r="C469" s="4">
        <v>18886431</v>
      </c>
      <c r="D469" s="29">
        <v>0</v>
      </c>
      <c r="E469" s="32">
        <v>18886431</v>
      </c>
      <c r="F469" s="29">
        <v>22474852.890000001</v>
      </c>
      <c r="G469" s="32">
        <v>863579</v>
      </c>
      <c r="H469" s="29">
        <v>863579</v>
      </c>
    </row>
    <row r="470" spans="1:8" x14ac:dyDescent="0.25">
      <c r="A470" s="3" t="s">
        <v>951</v>
      </c>
      <c r="B470" s="3" t="s">
        <v>952</v>
      </c>
      <c r="C470" s="4">
        <v>10346186</v>
      </c>
      <c r="D470" s="29">
        <v>0</v>
      </c>
      <c r="E470" s="32">
        <v>10105706</v>
      </c>
      <c r="F470" s="29">
        <v>12025790.140000001</v>
      </c>
      <c r="G470" s="32">
        <v>0</v>
      </c>
      <c r="H470" s="29">
        <v>0</v>
      </c>
    </row>
    <row r="471" spans="1:8" x14ac:dyDescent="0.25">
      <c r="A471" s="3" t="s">
        <v>953</v>
      </c>
      <c r="B471" s="3" t="s">
        <v>954</v>
      </c>
      <c r="C471" s="4">
        <v>27399888</v>
      </c>
      <c r="D471" s="29">
        <v>0</v>
      </c>
      <c r="E471" s="32">
        <v>12475827</v>
      </c>
      <c r="F471" s="29">
        <v>14846234.130000001</v>
      </c>
      <c r="G471" s="32">
        <v>110064</v>
      </c>
      <c r="H471" s="29">
        <v>110064</v>
      </c>
    </row>
    <row r="472" spans="1:8" x14ac:dyDescent="0.25">
      <c r="A472" s="3" t="s">
        <v>955</v>
      </c>
      <c r="B472" s="3" t="s">
        <v>956</v>
      </c>
      <c r="C472" s="4">
        <v>15679995.619999999</v>
      </c>
      <c r="D472" s="29">
        <v>0</v>
      </c>
      <c r="E472" s="32">
        <v>15964865</v>
      </c>
      <c r="F472" s="29">
        <v>18998189.350000001</v>
      </c>
      <c r="G472" s="32">
        <v>119723</v>
      </c>
      <c r="H472" s="29">
        <v>119723</v>
      </c>
    </row>
    <row r="473" spans="1:8" x14ac:dyDescent="0.25">
      <c r="A473" s="3" t="s">
        <v>957</v>
      </c>
      <c r="B473" s="3" t="s">
        <v>958</v>
      </c>
      <c r="C473" s="4">
        <v>55215536</v>
      </c>
      <c r="D473" s="29">
        <v>5523314</v>
      </c>
      <c r="E473" s="32">
        <v>2125108</v>
      </c>
      <c r="F473" s="29">
        <v>2528878.52</v>
      </c>
      <c r="G473" s="32">
        <v>0</v>
      </c>
      <c r="H473" s="29">
        <v>0</v>
      </c>
    </row>
    <row r="474" spans="1:8" x14ac:dyDescent="0.25">
      <c r="A474" s="3" t="s">
        <v>959</v>
      </c>
      <c r="B474" s="3" t="s">
        <v>960</v>
      </c>
      <c r="C474" s="4">
        <v>60296569</v>
      </c>
      <c r="D474" s="29">
        <v>0</v>
      </c>
      <c r="E474" s="32">
        <v>7610469</v>
      </c>
      <c r="F474" s="29">
        <v>9056458.1099999994</v>
      </c>
      <c r="G474" s="32">
        <v>107353</v>
      </c>
      <c r="H474" s="29">
        <v>107353</v>
      </c>
    </row>
    <row r="475" spans="1:8" x14ac:dyDescent="0.25">
      <c r="A475" s="3" t="s">
        <v>961</v>
      </c>
      <c r="B475" s="3" t="s">
        <v>962</v>
      </c>
      <c r="C475" s="4">
        <v>5006220.8499999996</v>
      </c>
      <c r="D475" s="29">
        <v>602775</v>
      </c>
      <c r="E475" s="32">
        <v>3516345</v>
      </c>
      <c r="F475" s="29">
        <v>4184450.55</v>
      </c>
      <c r="G475" s="32">
        <v>67014</v>
      </c>
      <c r="H475" s="29">
        <v>79746.66</v>
      </c>
    </row>
    <row r="476" spans="1:8" x14ac:dyDescent="0.25">
      <c r="A476" s="3" t="s">
        <v>963</v>
      </c>
      <c r="B476" s="3" t="s">
        <v>964</v>
      </c>
      <c r="C476" s="4">
        <v>314188.79999999999</v>
      </c>
      <c r="D476" s="29">
        <v>0</v>
      </c>
      <c r="E476" s="32">
        <v>314188.79999999999</v>
      </c>
      <c r="F476" s="29">
        <v>373884.67</v>
      </c>
      <c r="G476" s="32">
        <v>0</v>
      </c>
      <c r="H476" s="29">
        <v>0</v>
      </c>
    </row>
    <row r="477" spans="1:8" x14ac:dyDescent="0.25">
      <c r="A477" s="3" t="s">
        <v>965</v>
      </c>
      <c r="B477" s="3" t="s">
        <v>966</v>
      </c>
      <c r="C477" s="4">
        <v>134139273.08</v>
      </c>
      <c r="D477" s="29">
        <v>0</v>
      </c>
      <c r="E477" s="32">
        <v>54099708</v>
      </c>
      <c r="F477" s="29">
        <v>64378652.520000003</v>
      </c>
      <c r="G477" s="32">
        <v>407149</v>
      </c>
      <c r="H477" s="29">
        <v>407149</v>
      </c>
    </row>
    <row r="478" spans="1:8" x14ac:dyDescent="0.25">
      <c r="A478" s="3" t="s">
        <v>967</v>
      </c>
      <c r="B478" s="3" t="s">
        <v>968</v>
      </c>
      <c r="C478" s="4">
        <v>28795150</v>
      </c>
      <c r="D478" s="29">
        <v>0</v>
      </c>
      <c r="E478" s="32">
        <v>29742250</v>
      </c>
      <c r="F478" s="29">
        <v>35393277.5</v>
      </c>
      <c r="G478" s="32">
        <v>230317</v>
      </c>
      <c r="H478" s="29">
        <v>230317</v>
      </c>
    </row>
    <row r="479" spans="1:8" x14ac:dyDescent="0.25">
      <c r="A479" s="3" t="s">
        <v>969</v>
      </c>
      <c r="B479" s="3" t="s">
        <v>970</v>
      </c>
      <c r="C479" s="4">
        <v>1386300</v>
      </c>
      <c r="D479" s="29">
        <v>0</v>
      </c>
      <c r="E479" s="32">
        <v>1386300</v>
      </c>
      <c r="F479" s="29">
        <v>1649697</v>
      </c>
      <c r="G479" s="32">
        <v>0</v>
      </c>
      <c r="H479" s="29">
        <v>0</v>
      </c>
    </row>
    <row r="480" spans="1:8" x14ac:dyDescent="0.25">
      <c r="A480" s="3" t="s">
        <v>971</v>
      </c>
      <c r="B480" s="3" t="s">
        <v>972</v>
      </c>
      <c r="C480" s="4">
        <v>681500</v>
      </c>
      <c r="D480" s="29">
        <v>0</v>
      </c>
      <c r="E480" s="32">
        <v>681500</v>
      </c>
      <c r="F480" s="29">
        <v>810985</v>
      </c>
      <c r="G480" s="32">
        <v>0</v>
      </c>
      <c r="H480" s="29">
        <v>0</v>
      </c>
    </row>
    <row r="481" spans="1:8" x14ac:dyDescent="0.25">
      <c r="A481" s="3" t="s">
        <v>973</v>
      </c>
      <c r="B481" s="3" t="s">
        <v>974</v>
      </c>
      <c r="C481" s="4">
        <v>5023582</v>
      </c>
      <c r="D481" s="29">
        <v>0</v>
      </c>
      <c r="E481" s="32">
        <v>5023582</v>
      </c>
      <c r="F481" s="29">
        <v>5978062.5800000001</v>
      </c>
      <c r="G481" s="32">
        <v>0</v>
      </c>
      <c r="H481" s="29">
        <v>0</v>
      </c>
    </row>
    <row r="482" spans="1:8" x14ac:dyDescent="0.25">
      <c r="A482" s="3" t="s">
        <v>975</v>
      </c>
      <c r="B482" s="3" t="s">
        <v>976</v>
      </c>
      <c r="C482" s="4">
        <v>535796</v>
      </c>
      <c r="D482" s="29">
        <v>0</v>
      </c>
      <c r="E482" s="32">
        <v>535796</v>
      </c>
      <c r="F482" s="29">
        <v>637597.24</v>
      </c>
      <c r="G482" s="32">
        <v>0</v>
      </c>
      <c r="H482" s="29">
        <v>0</v>
      </c>
    </row>
    <row r="483" spans="1:8" x14ac:dyDescent="0.25">
      <c r="A483" s="3" t="s">
        <v>977</v>
      </c>
      <c r="B483" s="3" t="s">
        <v>978</v>
      </c>
      <c r="C483" s="4">
        <v>5183623</v>
      </c>
      <c r="D483" s="29">
        <v>0</v>
      </c>
      <c r="E483" s="32">
        <v>10514223</v>
      </c>
      <c r="F483" s="29">
        <v>12505731.369999999</v>
      </c>
      <c r="G483" s="32">
        <v>0</v>
      </c>
      <c r="H483" s="29">
        <v>0</v>
      </c>
    </row>
    <row r="484" spans="1:8" x14ac:dyDescent="0.25">
      <c r="A484" s="3" t="s">
        <v>979</v>
      </c>
      <c r="B484" s="3" t="s">
        <v>980</v>
      </c>
      <c r="C484" s="4">
        <v>6683745</v>
      </c>
      <c r="D484" s="29">
        <v>0</v>
      </c>
      <c r="E484" s="32">
        <v>6683745</v>
      </c>
      <c r="F484" s="29">
        <v>7953656.5499999998</v>
      </c>
      <c r="G484" s="32">
        <v>0</v>
      </c>
      <c r="H484" s="29">
        <v>0</v>
      </c>
    </row>
    <row r="485" spans="1:8" x14ac:dyDescent="0.25">
      <c r="A485" s="3" t="s">
        <v>981</v>
      </c>
      <c r="B485" s="3" t="s">
        <v>982</v>
      </c>
      <c r="C485" s="4">
        <v>40658129</v>
      </c>
      <c r="D485" s="29">
        <v>1000</v>
      </c>
      <c r="E485" s="32">
        <v>52263781</v>
      </c>
      <c r="F485" s="29">
        <v>62174559.289999999</v>
      </c>
      <c r="G485" s="32">
        <v>915027</v>
      </c>
      <c r="H485" s="29">
        <v>974877</v>
      </c>
    </row>
    <row r="486" spans="1:8" x14ac:dyDescent="0.25">
      <c r="A486" s="3" t="s">
        <v>983</v>
      </c>
      <c r="B486" s="3" t="s">
        <v>984</v>
      </c>
      <c r="C486" s="4">
        <v>5001912</v>
      </c>
      <c r="D486" s="29">
        <v>0</v>
      </c>
      <c r="E486" s="32">
        <v>52320</v>
      </c>
      <c r="F486" s="29">
        <v>62260.800000000003</v>
      </c>
      <c r="G486" s="32">
        <v>0</v>
      </c>
      <c r="H486" s="29">
        <v>0</v>
      </c>
    </row>
    <row r="487" spans="1:8" x14ac:dyDescent="0.25">
      <c r="A487" s="3" t="s">
        <v>985</v>
      </c>
      <c r="B487" s="3" t="s">
        <v>986</v>
      </c>
      <c r="C487" s="4">
        <v>144044</v>
      </c>
      <c r="D487" s="29">
        <v>0</v>
      </c>
      <c r="E487" s="32">
        <v>144044</v>
      </c>
      <c r="F487" s="29">
        <v>171412.36</v>
      </c>
      <c r="G487" s="32">
        <v>0</v>
      </c>
      <c r="H487" s="29">
        <v>0</v>
      </c>
    </row>
    <row r="488" spans="1:8" x14ac:dyDescent="0.25">
      <c r="A488" s="3" t="s">
        <v>987</v>
      </c>
      <c r="B488" s="3" t="s">
        <v>988</v>
      </c>
      <c r="C488" s="4">
        <v>50424983.799999997</v>
      </c>
      <c r="D488" s="29">
        <v>0</v>
      </c>
      <c r="E488" s="32">
        <v>47982308</v>
      </c>
      <c r="F488" s="29">
        <v>56980576.520000003</v>
      </c>
      <c r="G488" s="32">
        <v>1384147</v>
      </c>
      <c r="H488" s="29">
        <v>1384147</v>
      </c>
    </row>
    <row r="489" spans="1:8" x14ac:dyDescent="0.25">
      <c r="A489" s="3" t="s">
        <v>989</v>
      </c>
      <c r="B489" s="3" t="s">
        <v>990</v>
      </c>
      <c r="C489" s="4">
        <v>110308089.03</v>
      </c>
      <c r="D489" s="29">
        <v>490760.01</v>
      </c>
      <c r="E489" s="32">
        <v>108009799</v>
      </c>
      <c r="F489" s="29">
        <v>128531660.81</v>
      </c>
      <c r="G489" s="32">
        <v>1017181</v>
      </c>
      <c r="H489" s="29">
        <v>1080109</v>
      </c>
    </row>
    <row r="490" spans="1:8" x14ac:dyDescent="0.25">
      <c r="A490" s="3" t="s">
        <v>991</v>
      </c>
      <c r="B490" s="3" t="s">
        <v>992</v>
      </c>
      <c r="C490" s="4">
        <v>14730907</v>
      </c>
      <c r="D490" s="29">
        <v>0</v>
      </c>
      <c r="E490" s="32">
        <v>14730907</v>
      </c>
      <c r="F490" s="29">
        <v>17529779.329999998</v>
      </c>
      <c r="G490" s="32">
        <v>44640</v>
      </c>
      <c r="H490" s="29">
        <v>53121.599999999999</v>
      </c>
    </row>
    <row r="491" spans="1:8" x14ac:dyDescent="0.25">
      <c r="A491" s="3" t="s">
        <v>993</v>
      </c>
      <c r="B491" s="3" t="s">
        <v>994</v>
      </c>
      <c r="C491" s="4">
        <v>89400</v>
      </c>
      <c r="D491" s="29">
        <v>0</v>
      </c>
      <c r="E491" s="32">
        <v>89400</v>
      </c>
      <c r="F491" s="29">
        <v>106386</v>
      </c>
      <c r="G491" s="32">
        <v>0</v>
      </c>
      <c r="H491" s="29">
        <v>0</v>
      </c>
    </row>
    <row r="492" spans="1:8" x14ac:dyDescent="0.25">
      <c r="A492" s="3" t="s">
        <v>995</v>
      </c>
      <c r="B492" s="3" t="s">
        <v>996</v>
      </c>
      <c r="C492" s="4">
        <v>37050120</v>
      </c>
      <c r="D492" s="29">
        <v>0</v>
      </c>
      <c r="E492" s="32">
        <v>12350040</v>
      </c>
      <c r="F492" s="29">
        <v>14696547.6</v>
      </c>
      <c r="G492" s="32">
        <v>0</v>
      </c>
      <c r="H492" s="29">
        <v>0</v>
      </c>
    </row>
    <row r="493" spans="1:8" x14ac:dyDescent="0.25">
      <c r="A493" s="3" t="s">
        <v>997</v>
      </c>
      <c r="B493" s="3" t="s">
        <v>998</v>
      </c>
      <c r="C493" s="4">
        <v>5434869</v>
      </c>
      <c r="D493" s="29">
        <v>201115</v>
      </c>
      <c r="E493" s="32">
        <v>2299374</v>
      </c>
      <c r="F493" s="29">
        <v>2736255.06</v>
      </c>
      <c r="G493" s="32">
        <v>0</v>
      </c>
      <c r="H493" s="29">
        <v>0</v>
      </c>
    </row>
    <row r="494" spans="1:8" x14ac:dyDescent="0.25">
      <c r="A494" s="3" t="s">
        <v>999</v>
      </c>
      <c r="B494" s="3" t="s">
        <v>1000</v>
      </c>
      <c r="C494" s="4">
        <v>1055168</v>
      </c>
      <c r="D494" s="29">
        <v>0</v>
      </c>
      <c r="E494" s="32">
        <v>16128</v>
      </c>
      <c r="F494" s="29">
        <v>19192.32</v>
      </c>
      <c r="G494" s="32">
        <v>0</v>
      </c>
      <c r="H494" s="29">
        <v>0</v>
      </c>
    </row>
    <row r="495" spans="1:8" x14ac:dyDescent="0.25">
      <c r="A495" s="3" t="s">
        <v>1001</v>
      </c>
      <c r="B495" s="3" t="s">
        <v>1002</v>
      </c>
      <c r="C495" s="4">
        <v>5707600</v>
      </c>
      <c r="D495" s="29">
        <v>0</v>
      </c>
      <c r="E495" s="32">
        <v>5707600</v>
      </c>
      <c r="F495" s="29">
        <v>6792044</v>
      </c>
      <c r="G495" s="32">
        <v>0</v>
      </c>
      <c r="H495" s="29">
        <v>0</v>
      </c>
    </row>
    <row r="496" spans="1:8" x14ac:dyDescent="0.25">
      <c r="A496" s="3" t="s">
        <v>1003</v>
      </c>
      <c r="B496" s="3" t="s">
        <v>1004</v>
      </c>
      <c r="C496" s="4">
        <v>3118741</v>
      </c>
      <c r="D496" s="29">
        <v>0</v>
      </c>
      <c r="E496" s="32">
        <v>3118741</v>
      </c>
      <c r="F496" s="29">
        <v>3711301.79</v>
      </c>
      <c r="G496" s="32">
        <v>0</v>
      </c>
      <c r="H496" s="29">
        <v>0</v>
      </c>
    </row>
    <row r="497" spans="1:8" x14ac:dyDescent="0.25">
      <c r="A497" s="3" t="s">
        <v>1005</v>
      </c>
      <c r="B497" s="3" t="s">
        <v>1006</v>
      </c>
      <c r="C497" s="4">
        <v>20365721</v>
      </c>
      <c r="D497" s="29">
        <v>0</v>
      </c>
      <c r="E497" s="32">
        <v>20365721</v>
      </c>
      <c r="F497" s="29">
        <v>24235207.989999998</v>
      </c>
      <c r="G497" s="32">
        <v>0</v>
      </c>
      <c r="H497" s="29">
        <v>0</v>
      </c>
    </row>
    <row r="498" spans="1:8" x14ac:dyDescent="0.25">
      <c r="A498" s="3" t="s">
        <v>1007</v>
      </c>
      <c r="B498" s="3" t="s">
        <v>1008</v>
      </c>
      <c r="C498" s="4">
        <v>2127128</v>
      </c>
      <c r="D498" s="29">
        <v>0</v>
      </c>
      <c r="E498" s="32">
        <v>2127128</v>
      </c>
      <c r="F498" s="29">
        <v>2531282.3199999998</v>
      </c>
      <c r="G498" s="32">
        <v>116275</v>
      </c>
      <c r="H498" s="29">
        <v>116275</v>
      </c>
    </row>
    <row r="499" spans="1:8" x14ac:dyDescent="0.25">
      <c r="A499" s="3" t="s">
        <v>1009</v>
      </c>
      <c r="B499" s="3" t="s">
        <v>1010</v>
      </c>
      <c r="C499" s="4">
        <v>25147592</v>
      </c>
      <c r="D499" s="29">
        <v>0</v>
      </c>
      <c r="E499" s="32">
        <v>24614406</v>
      </c>
      <c r="F499" s="29">
        <v>29291143.140000001</v>
      </c>
      <c r="G499" s="32">
        <v>0</v>
      </c>
      <c r="H499" s="29">
        <v>0</v>
      </c>
    </row>
    <row r="500" spans="1:8" x14ac:dyDescent="0.25">
      <c r="A500" s="3" t="s">
        <v>1011</v>
      </c>
      <c r="B500" s="3" t="s">
        <v>1012</v>
      </c>
      <c r="C500" s="4">
        <v>3859707</v>
      </c>
      <c r="D500" s="29">
        <v>1140200</v>
      </c>
      <c r="E500" s="32">
        <v>61701816</v>
      </c>
      <c r="F500" s="29">
        <v>73425161.040000007</v>
      </c>
      <c r="G500" s="32">
        <v>0</v>
      </c>
      <c r="H500" s="29">
        <v>0</v>
      </c>
    </row>
    <row r="501" spans="1:8" x14ac:dyDescent="0.25">
      <c r="A501" s="3" t="s">
        <v>1013</v>
      </c>
      <c r="B501" s="3" t="s">
        <v>1014</v>
      </c>
      <c r="C501" s="4">
        <v>48576491</v>
      </c>
      <c r="D501" s="29">
        <v>3418310</v>
      </c>
      <c r="E501" s="32">
        <v>44093907</v>
      </c>
      <c r="F501" s="29">
        <v>52471749.329999998</v>
      </c>
      <c r="G501" s="32">
        <v>1625243</v>
      </c>
      <c r="H501" s="29">
        <v>1711560.57</v>
      </c>
    </row>
    <row r="502" spans="1:8" x14ac:dyDescent="0.25">
      <c r="A502" s="3" t="s">
        <v>1015</v>
      </c>
      <c r="B502" s="3" t="s">
        <v>1016</v>
      </c>
      <c r="C502" s="4">
        <v>311807.73</v>
      </c>
      <c r="D502" s="29">
        <v>0</v>
      </c>
      <c r="E502" s="32">
        <v>311807</v>
      </c>
      <c r="F502" s="29">
        <v>371050.33</v>
      </c>
      <c r="G502" s="32">
        <v>0</v>
      </c>
      <c r="H502" s="29">
        <v>0</v>
      </c>
    </row>
    <row r="503" spans="1:8" x14ac:dyDescent="0.25">
      <c r="A503" s="3" t="s">
        <v>1017</v>
      </c>
      <c r="B503" s="3" t="s">
        <v>1018</v>
      </c>
      <c r="C503" s="4">
        <v>1368460</v>
      </c>
      <c r="D503" s="29">
        <v>0</v>
      </c>
      <c r="E503" s="32">
        <v>2089260</v>
      </c>
      <c r="F503" s="29">
        <v>2486219.4</v>
      </c>
      <c r="G503" s="32">
        <v>0</v>
      </c>
      <c r="H503" s="29">
        <v>0</v>
      </c>
    </row>
    <row r="504" spans="1:8" x14ac:dyDescent="0.25">
      <c r="A504" s="3" t="s">
        <v>1019</v>
      </c>
      <c r="B504" s="3" t="s">
        <v>1020</v>
      </c>
      <c r="C504" s="4">
        <v>633750</v>
      </c>
      <c r="D504" s="29">
        <v>0</v>
      </c>
      <c r="E504" s="32">
        <v>633750</v>
      </c>
      <c r="F504" s="29">
        <v>754162.5</v>
      </c>
      <c r="G504" s="32">
        <v>0</v>
      </c>
      <c r="H504" s="29">
        <v>0</v>
      </c>
    </row>
    <row r="505" spans="1:8" x14ac:dyDescent="0.25">
      <c r="A505" s="3" t="s">
        <v>1021</v>
      </c>
      <c r="B505" s="3" t="s">
        <v>1022</v>
      </c>
      <c r="C505" s="4">
        <v>133400</v>
      </c>
      <c r="D505" s="29">
        <v>0</v>
      </c>
      <c r="E505" s="32">
        <v>133400</v>
      </c>
      <c r="F505" s="29">
        <v>158746</v>
      </c>
      <c r="G505" s="32">
        <v>0</v>
      </c>
      <c r="H505" s="29">
        <v>0</v>
      </c>
    </row>
    <row r="506" spans="1:8" x14ac:dyDescent="0.25">
      <c r="A506" s="3" t="s">
        <v>1023</v>
      </c>
      <c r="B506" s="3" t="s">
        <v>1024</v>
      </c>
      <c r="C506" s="4">
        <v>12879728</v>
      </c>
      <c r="D506" s="29">
        <v>0</v>
      </c>
      <c r="E506" s="32">
        <v>12879728</v>
      </c>
      <c r="F506" s="29">
        <v>15326876.32</v>
      </c>
      <c r="G506" s="32">
        <v>2094148</v>
      </c>
      <c r="H506" s="29">
        <v>2492036.12</v>
      </c>
    </row>
    <row r="507" spans="1:8" x14ac:dyDescent="0.25">
      <c r="A507" s="3" t="s">
        <v>1025</v>
      </c>
      <c r="B507" s="3" t="s">
        <v>1026</v>
      </c>
      <c r="C507" s="4">
        <v>61076</v>
      </c>
      <c r="D507" s="29">
        <v>0</v>
      </c>
      <c r="E507" s="32">
        <v>61076</v>
      </c>
      <c r="F507" s="29">
        <v>72680.44</v>
      </c>
      <c r="G507" s="32">
        <v>0</v>
      </c>
      <c r="H507" s="29">
        <v>0</v>
      </c>
    </row>
    <row r="508" spans="1:8" x14ac:dyDescent="0.25">
      <c r="A508" s="3" t="s">
        <v>1027</v>
      </c>
      <c r="B508" s="3" t="s">
        <v>1028</v>
      </c>
      <c r="C508" s="4">
        <v>27446421</v>
      </c>
      <c r="D508" s="29">
        <v>20306276</v>
      </c>
      <c r="E508" s="32">
        <v>7140145</v>
      </c>
      <c r="F508" s="29">
        <v>8496772.5500000007</v>
      </c>
      <c r="G508" s="32">
        <v>0</v>
      </c>
      <c r="H508" s="2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tabSelected="1" topLeftCell="E1" zoomScale="106" zoomScaleNormal="106" workbookViewId="0">
      <pane ySplit="1" topLeftCell="A27" activePane="bottomLeft" state="frozen"/>
      <selection activeCell="B1" sqref="B1"/>
      <selection pane="bottomLeft" activeCell="P57" sqref="P57"/>
    </sheetView>
  </sheetViews>
  <sheetFormatPr baseColWidth="10" defaultRowHeight="13.5" x14ac:dyDescent="0.25"/>
  <cols>
    <col min="1" max="1" width="14.5" style="6" customWidth="1"/>
    <col min="2" max="2" width="38.5" style="6" customWidth="1"/>
    <col min="3" max="3" width="20.375" style="13" customWidth="1"/>
    <col min="4" max="4" width="16" style="14" customWidth="1"/>
    <col min="5" max="5" width="18.5" style="14" customWidth="1"/>
    <col min="6" max="6" width="22.375" style="6" customWidth="1"/>
    <col min="7" max="7" width="17.75" style="16" customWidth="1"/>
    <col min="8" max="8" width="17.625" style="20" customWidth="1"/>
    <col min="9" max="9" width="14.75" style="6" customWidth="1"/>
    <col min="10" max="10" width="16.875" style="6" customWidth="1"/>
    <col min="11" max="11" width="11" style="6"/>
    <col min="12" max="12" width="13.875" style="6" bestFit="1" customWidth="1"/>
    <col min="13" max="13" width="11" style="6"/>
    <col min="14" max="15" width="14.75" style="43" customWidth="1"/>
    <col min="16" max="16" width="33.375" style="6" bestFit="1" customWidth="1"/>
  </cols>
  <sheetData>
    <row r="1" spans="1:17" s="26" customFormat="1" x14ac:dyDescent="0.25">
      <c r="A1" s="21" t="s">
        <v>7</v>
      </c>
      <c r="B1" s="21" t="s">
        <v>8</v>
      </c>
      <c r="C1" s="22" t="s">
        <v>1039</v>
      </c>
      <c r="D1" s="22" t="s">
        <v>1029</v>
      </c>
      <c r="E1" s="22" t="s">
        <v>1038</v>
      </c>
      <c r="F1" s="23" t="s">
        <v>1030</v>
      </c>
      <c r="G1" s="24" t="s">
        <v>1031</v>
      </c>
      <c r="H1" s="25" t="s">
        <v>1032</v>
      </c>
      <c r="I1" s="23" t="s">
        <v>1033</v>
      </c>
      <c r="J1" s="23" t="s">
        <v>1034</v>
      </c>
      <c r="K1" s="23" t="s">
        <v>1035</v>
      </c>
      <c r="L1" s="23" t="s">
        <v>1036</v>
      </c>
      <c r="M1" s="23" t="s">
        <v>1037</v>
      </c>
      <c r="N1" s="42" t="s">
        <v>1040</v>
      </c>
      <c r="O1" s="45" t="s">
        <v>1046</v>
      </c>
      <c r="P1" s="23" t="s">
        <v>1041</v>
      </c>
    </row>
    <row r="2" spans="1:17" x14ac:dyDescent="0.25">
      <c r="A2" s="7" t="s">
        <v>239</v>
      </c>
      <c r="B2" s="7" t="s">
        <v>240</v>
      </c>
      <c r="C2" s="8">
        <v>441922826</v>
      </c>
      <c r="D2" s="9">
        <v>7949260</v>
      </c>
      <c r="E2" s="14">
        <v>7920916</v>
      </c>
      <c r="F2" s="27">
        <f>D2-E2</f>
        <v>28344</v>
      </c>
      <c r="G2" s="17">
        <v>115200</v>
      </c>
      <c r="H2" s="19">
        <v>24847794.149999999</v>
      </c>
      <c r="I2" s="19">
        <v>7000000</v>
      </c>
      <c r="J2" s="27">
        <f>C2-F2-G2-H2-I2</f>
        <v>409931487.85000002</v>
      </c>
      <c r="K2" s="34">
        <v>0.06</v>
      </c>
      <c r="L2" s="27">
        <f>J2*K2</f>
        <v>24595889.271000002</v>
      </c>
      <c r="N2" s="43">
        <f>J2*0.7%</f>
        <v>2869520.4149499997</v>
      </c>
      <c r="O2" s="43">
        <f>L2+N2</f>
        <v>27465409.68595</v>
      </c>
      <c r="P2" s="6" t="s">
        <v>1042</v>
      </c>
    </row>
    <row r="3" spans="1:17" x14ac:dyDescent="0.25">
      <c r="A3" s="7" t="s">
        <v>201</v>
      </c>
      <c r="B3" s="7" t="s">
        <v>202</v>
      </c>
      <c r="C3" s="8">
        <v>400195434.55000001</v>
      </c>
      <c r="D3" s="9">
        <v>43241437</v>
      </c>
      <c r="E3" s="14">
        <v>14765131</v>
      </c>
      <c r="F3" s="27">
        <f t="shared" ref="F3:F67" si="0">D3-E3</f>
        <v>28476306</v>
      </c>
      <c r="G3" s="17">
        <v>1280690</v>
      </c>
      <c r="H3" s="19">
        <v>9534856.0199999996</v>
      </c>
      <c r="J3" s="27">
        <f t="shared" ref="J3:J67" si="1">C3-F3-G3-H3-I3</f>
        <v>360903582.53000003</v>
      </c>
      <c r="K3" s="34">
        <v>0.06</v>
      </c>
      <c r="L3" s="27">
        <f t="shared" ref="L3:L67" si="2">J3*K3</f>
        <v>21654214.9518</v>
      </c>
      <c r="N3" s="43">
        <f t="shared" ref="N3:N67" si="3">J3*0.7%</f>
        <v>2526325.0777099999</v>
      </c>
      <c r="O3" s="43">
        <f t="shared" ref="O3:O67" si="4">L3+N3</f>
        <v>24180540.029509999</v>
      </c>
    </row>
    <row r="4" spans="1:17" x14ac:dyDescent="0.25">
      <c r="A4" s="7" t="s">
        <v>817</v>
      </c>
      <c r="B4" s="7" t="s">
        <v>818</v>
      </c>
      <c r="C4" s="8">
        <v>215572134</v>
      </c>
      <c r="D4" s="9">
        <v>22502652</v>
      </c>
      <c r="E4" s="14">
        <v>14422490</v>
      </c>
      <c r="F4" s="27">
        <f t="shared" si="0"/>
        <v>8080162</v>
      </c>
      <c r="G4" s="17">
        <v>308366</v>
      </c>
      <c r="H4" s="19">
        <v>4623373.1900000004</v>
      </c>
      <c r="J4" s="27">
        <f t="shared" si="1"/>
        <v>202560232.81</v>
      </c>
      <c r="K4" s="34">
        <v>0.06</v>
      </c>
      <c r="L4" s="27">
        <f t="shared" si="2"/>
        <v>12153613.968599999</v>
      </c>
      <c r="M4" s="6">
        <v>31226</v>
      </c>
      <c r="N4" s="43">
        <f t="shared" si="3"/>
        <v>1417921.6296699999</v>
      </c>
      <c r="O4" s="43">
        <f t="shared" si="4"/>
        <v>13571535.598269999</v>
      </c>
    </row>
    <row r="5" spans="1:17" x14ac:dyDescent="0.25">
      <c r="A5" s="7" t="s">
        <v>297</v>
      </c>
      <c r="B5" s="7" t="s">
        <v>298</v>
      </c>
      <c r="C5" s="8">
        <v>206962625.19999999</v>
      </c>
      <c r="D5" s="9">
        <v>921783</v>
      </c>
      <c r="E5" s="14">
        <v>776148</v>
      </c>
      <c r="F5" s="27">
        <f t="shared" si="0"/>
        <v>145635</v>
      </c>
      <c r="G5" s="14"/>
      <c r="H5" s="19">
        <v>5880050</v>
      </c>
      <c r="J5" s="27">
        <f t="shared" si="1"/>
        <v>200936940.19999999</v>
      </c>
      <c r="K5" s="34">
        <v>0.06</v>
      </c>
      <c r="L5" s="27">
        <f t="shared" si="2"/>
        <v>12056216.411999999</v>
      </c>
      <c r="M5" s="6">
        <v>31227</v>
      </c>
      <c r="N5" s="43">
        <f t="shared" si="3"/>
        <v>1406558.5813999998</v>
      </c>
      <c r="O5" s="43">
        <f t="shared" si="4"/>
        <v>13462774.993399998</v>
      </c>
      <c r="Q5">
        <v>3214279</v>
      </c>
    </row>
    <row r="6" spans="1:17" x14ac:dyDescent="0.25">
      <c r="A6" s="7" t="s">
        <v>463</v>
      </c>
      <c r="B6" s="7" t="s">
        <v>464</v>
      </c>
      <c r="C6" s="8">
        <v>205210850</v>
      </c>
      <c r="D6" s="9">
        <v>18691098</v>
      </c>
      <c r="E6" s="14">
        <v>5704757</v>
      </c>
      <c r="F6" s="27">
        <f t="shared" si="0"/>
        <v>12986341</v>
      </c>
      <c r="G6" s="17">
        <v>3700400</v>
      </c>
      <c r="H6" s="19">
        <v>5821456.21</v>
      </c>
      <c r="J6" s="27">
        <f t="shared" si="1"/>
        <v>182702652.78999999</v>
      </c>
      <c r="K6" s="34">
        <v>0.05</v>
      </c>
      <c r="L6" s="27">
        <f t="shared" si="2"/>
        <v>9135132.6394999996</v>
      </c>
      <c r="M6" s="6">
        <v>31228</v>
      </c>
      <c r="N6" s="43">
        <f t="shared" si="3"/>
        <v>1278918.5695299997</v>
      </c>
      <c r="O6" s="43">
        <f t="shared" si="4"/>
        <v>10414051.209029999</v>
      </c>
      <c r="Q6">
        <v>2700000</v>
      </c>
    </row>
    <row r="7" spans="1:17" x14ac:dyDescent="0.25">
      <c r="A7" s="7" t="s">
        <v>707</v>
      </c>
      <c r="B7" s="7" t="s">
        <v>708</v>
      </c>
      <c r="C7" s="8">
        <v>173539294.5</v>
      </c>
      <c r="D7" s="9">
        <v>5783543</v>
      </c>
      <c r="E7" s="14">
        <v>2980371</v>
      </c>
      <c r="F7" s="27">
        <f t="shared" si="0"/>
        <v>2803172</v>
      </c>
      <c r="G7" s="14"/>
      <c r="H7" s="19">
        <v>3417547.08</v>
      </c>
      <c r="J7" s="27">
        <f t="shared" si="1"/>
        <v>167318575.41999999</v>
      </c>
      <c r="K7" s="34">
        <v>0.05</v>
      </c>
      <c r="L7" s="27">
        <f t="shared" si="2"/>
        <v>8365928.7709999997</v>
      </c>
      <c r="M7" s="6">
        <v>31229</v>
      </c>
      <c r="N7" s="43">
        <f t="shared" si="3"/>
        <v>1171230.0279399997</v>
      </c>
      <c r="O7" s="43">
        <f t="shared" si="4"/>
        <v>9537158.7989399992</v>
      </c>
      <c r="Q7">
        <f>Q5-Q6</f>
        <v>514279</v>
      </c>
    </row>
    <row r="8" spans="1:17" x14ac:dyDescent="0.25">
      <c r="A8" s="7" t="s">
        <v>503</v>
      </c>
      <c r="B8" s="7" t="s">
        <v>504</v>
      </c>
      <c r="C8" s="8">
        <v>163711180</v>
      </c>
      <c r="D8" s="9">
        <v>17266138</v>
      </c>
      <c r="F8" s="27">
        <f t="shared" si="0"/>
        <v>17266138</v>
      </c>
      <c r="G8" s="17">
        <v>54900</v>
      </c>
      <c r="H8" s="19">
        <v>1369207</v>
      </c>
      <c r="J8" s="27">
        <f t="shared" si="1"/>
        <v>145020935</v>
      </c>
      <c r="K8" s="34">
        <v>0.04</v>
      </c>
      <c r="L8" s="27">
        <f t="shared" si="2"/>
        <v>5800837.4000000004</v>
      </c>
      <c r="M8" s="6">
        <v>31230</v>
      </c>
      <c r="N8" s="43">
        <f t="shared" si="3"/>
        <v>1015146.5449999999</v>
      </c>
      <c r="O8" s="43">
        <f t="shared" si="4"/>
        <v>6815983.9450000003</v>
      </c>
    </row>
    <row r="9" spans="1:17" x14ac:dyDescent="0.25">
      <c r="A9" s="7" t="s">
        <v>639</v>
      </c>
      <c r="B9" s="7" t="s">
        <v>640</v>
      </c>
      <c r="C9" s="8">
        <v>162807159.08000001</v>
      </c>
      <c r="D9" s="9">
        <v>16315008</v>
      </c>
      <c r="E9" s="14">
        <v>6514746</v>
      </c>
      <c r="F9" s="27">
        <f t="shared" si="0"/>
        <v>9800262</v>
      </c>
      <c r="G9" s="14"/>
      <c r="H9" s="19">
        <v>4808352.3600000003</v>
      </c>
      <c r="J9" s="27">
        <f t="shared" si="1"/>
        <v>148198544.72</v>
      </c>
      <c r="K9" s="34">
        <v>0.04</v>
      </c>
      <c r="L9" s="27">
        <f t="shared" si="2"/>
        <v>5927941.7888000002</v>
      </c>
      <c r="M9" s="6">
        <v>31231</v>
      </c>
      <c r="N9" s="43">
        <f t="shared" si="3"/>
        <v>1037389.8130399999</v>
      </c>
      <c r="O9" s="43">
        <f t="shared" si="4"/>
        <v>6965331.6018400006</v>
      </c>
    </row>
    <row r="10" spans="1:17" x14ac:dyDescent="0.25">
      <c r="A10" s="7" t="s">
        <v>197</v>
      </c>
      <c r="B10" s="7" t="s">
        <v>198</v>
      </c>
      <c r="C10" s="8">
        <v>156269255</v>
      </c>
      <c r="D10" s="9">
        <v>16712844</v>
      </c>
      <c r="E10" s="14">
        <v>3379225</v>
      </c>
      <c r="F10" s="27">
        <f t="shared" si="0"/>
        <v>13333619</v>
      </c>
      <c r="G10" s="17">
        <v>382086</v>
      </c>
      <c r="J10" s="27">
        <f t="shared" si="1"/>
        <v>142553550</v>
      </c>
      <c r="K10" s="34">
        <v>0.04</v>
      </c>
      <c r="L10" s="27">
        <f t="shared" si="2"/>
        <v>5702142</v>
      </c>
      <c r="N10" s="43">
        <f t="shared" si="3"/>
        <v>997874.84999999986</v>
      </c>
      <c r="O10" s="43">
        <f t="shared" si="4"/>
        <v>6700016.8499999996</v>
      </c>
    </row>
    <row r="11" spans="1:17" x14ac:dyDescent="0.25">
      <c r="A11" s="7" t="s">
        <v>291</v>
      </c>
      <c r="B11" s="7" t="s">
        <v>292</v>
      </c>
      <c r="C11" s="8">
        <v>155971577</v>
      </c>
      <c r="D11" s="9">
        <v>12130638</v>
      </c>
      <c r="E11" s="14">
        <v>7107476</v>
      </c>
      <c r="F11" s="27">
        <f t="shared" si="0"/>
        <v>5023162</v>
      </c>
      <c r="G11" s="17">
        <v>32600</v>
      </c>
      <c r="H11" s="19">
        <v>7787045.5199999996</v>
      </c>
      <c r="J11" s="27">
        <f t="shared" si="1"/>
        <v>143128769.47999999</v>
      </c>
      <c r="K11" s="34">
        <v>0.04</v>
      </c>
      <c r="L11" s="27">
        <f t="shared" si="2"/>
        <v>5725150.7791999998</v>
      </c>
      <c r="M11" s="6">
        <v>31232</v>
      </c>
      <c r="N11" s="43">
        <f t="shared" si="3"/>
        <v>1001901.3863599998</v>
      </c>
      <c r="O11" s="43">
        <f t="shared" si="4"/>
        <v>6727052.1655599996</v>
      </c>
    </row>
    <row r="12" spans="1:17" x14ac:dyDescent="0.25">
      <c r="A12" s="7" t="s">
        <v>267</v>
      </c>
      <c r="B12" s="7" t="s">
        <v>268</v>
      </c>
      <c r="C12" s="8">
        <v>150635849</v>
      </c>
      <c r="D12" s="9">
        <v>46589385</v>
      </c>
      <c r="E12" s="14">
        <v>2026916</v>
      </c>
      <c r="F12" s="27">
        <f t="shared" si="0"/>
        <v>44562469</v>
      </c>
      <c r="G12" s="17">
        <v>118550</v>
      </c>
      <c r="J12" s="27">
        <f t="shared" si="1"/>
        <v>105954830</v>
      </c>
      <c r="K12" s="34">
        <v>0.04</v>
      </c>
      <c r="L12" s="27">
        <f t="shared" si="2"/>
        <v>4238193.2</v>
      </c>
      <c r="N12" s="43">
        <f t="shared" si="3"/>
        <v>741683.80999999994</v>
      </c>
      <c r="O12" s="43">
        <f t="shared" si="4"/>
        <v>4979877.01</v>
      </c>
    </row>
    <row r="13" spans="1:17" x14ac:dyDescent="0.25">
      <c r="A13" s="7" t="s">
        <v>919</v>
      </c>
      <c r="B13" s="7" t="s">
        <v>920</v>
      </c>
      <c r="C13" s="8">
        <v>144429382</v>
      </c>
      <c r="D13" s="9">
        <v>2278757</v>
      </c>
      <c r="E13" s="14">
        <v>1632612</v>
      </c>
      <c r="F13" s="27">
        <f t="shared" si="0"/>
        <v>646145</v>
      </c>
      <c r="G13" s="14"/>
      <c r="H13" s="19">
        <v>8183438.9699999997</v>
      </c>
      <c r="J13" s="27">
        <f t="shared" si="1"/>
        <v>135599798.03</v>
      </c>
      <c r="K13" s="34">
        <v>0.04</v>
      </c>
      <c r="L13" s="27">
        <f t="shared" si="2"/>
        <v>5423991.9211999997</v>
      </c>
      <c r="M13" s="6">
        <v>31233</v>
      </c>
      <c r="N13" s="43">
        <f t="shared" si="3"/>
        <v>949198.58620999986</v>
      </c>
      <c r="O13" s="43">
        <f t="shared" si="4"/>
        <v>6373190.5074099991</v>
      </c>
    </row>
    <row r="14" spans="1:17" x14ac:dyDescent="0.25">
      <c r="A14" s="7" t="s">
        <v>171</v>
      </c>
      <c r="B14" s="7" t="s">
        <v>172</v>
      </c>
      <c r="C14" s="8">
        <v>141928042</v>
      </c>
      <c r="D14" s="9">
        <v>3532454</v>
      </c>
      <c r="E14" s="14">
        <v>3484454</v>
      </c>
      <c r="F14" s="27">
        <f t="shared" si="0"/>
        <v>48000</v>
      </c>
      <c r="G14" s="17">
        <v>888707</v>
      </c>
      <c r="J14" s="27">
        <f t="shared" si="1"/>
        <v>140991335</v>
      </c>
      <c r="K14" s="34">
        <v>0.04</v>
      </c>
      <c r="L14" s="27">
        <f t="shared" si="2"/>
        <v>5639653.4000000004</v>
      </c>
      <c r="M14" s="6">
        <v>31234</v>
      </c>
      <c r="N14" s="43">
        <f t="shared" si="3"/>
        <v>986939.34499999986</v>
      </c>
      <c r="O14" s="43">
        <f t="shared" si="4"/>
        <v>6626592.7450000001</v>
      </c>
    </row>
    <row r="15" spans="1:17" s="62" customFormat="1" x14ac:dyDescent="0.25">
      <c r="A15" s="58" t="s">
        <v>311</v>
      </c>
      <c r="B15" s="58" t="s">
        <v>312</v>
      </c>
      <c r="C15" s="19">
        <v>138964661</v>
      </c>
      <c r="D15" s="19">
        <v>1782743</v>
      </c>
      <c r="E15" s="59">
        <v>1782743</v>
      </c>
      <c r="F15" s="60">
        <f t="shared" si="0"/>
        <v>0</v>
      </c>
      <c r="G15" s="59"/>
      <c r="H15" s="20"/>
      <c r="I15" s="20"/>
      <c r="J15" s="60">
        <f t="shared" si="1"/>
        <v>138964661</v>
      </c>
      <c r="K15" s="61">
        <v>0.04</v>
      </c>
      <c r="L15" s="60">
        <f t="shared" si="2"/>
        <v>5558586.4400000004</v>
      </c>
      <c r="M15" s="20">
        <v>31235</v>
      </c>
      <c r="N15" s="43">
        <f t="shared" si="3"/>
        <v>972752.62699999986</v>
      </c>
      <c r="O15" s="43">
        <f t="shared" si="4"/>
        <v>6531339.0669999998</v>
      </c>
      <c r="P15" s="20"/>
    </row>
    <row r="16" spans="1:17" x14ac:dyDescent="0.25">
      <c r="A16" s="7" t="s">
        <v>167</v>
      </c>
      <c r="B16" s="7" t="s">
        <v>168</v>
      </c>
      <c r="C16" s="8">
        <v>137002220</v>
      </c>
      <c r="D16" s="9">
        <v>3409486</v>
      </c>
      <c r="E16" s="14">
        <v>441828</v>
      </c>
      <c r="F16" s="27">
        <f t="shared" si="0"/>
        <v>2967658</v>
      </c>
      <c r="G16" s="14"/>
      <c r="H16" s="19">
        <v>5515241.4400000004</v>
      </c>
      <c r="J16" s="27">
        <f t="shared" si="1"/>
        <v>128519320.56</v>
      </c>
      <c r="K16" s="34">
        <v>0.04</v>
      </c>
      <c r="L16" s="27">
        <f t="shared" si="2"/>
        <v>5140772.8223999999</v>
      </c>
      <c r="M16" s="6">
        <v>31236</v>
      </c>
      <c r="N16" s="43">
        <f t="shared" si="3"/>
        <v>899635.24391999992</v>
      </c>
      <c r="O16" s="43">
        <f t="shared" si="4"/>
        <v>6040408.0663200002</v>
      </c>
    </row>
    <row r="17" spans="1:16" x14ac:dyDescent="0.25">
      <c r="A17" s="7" t="s">
        <v>717</v>
      </c>
      <c r="B17" s="7" t="s">
        <v>718</v>
      </c>
      <c r="C17" s="8">
        <v>125789978</v>
      </c>
      <c r="D17" s="9">
        <v>11333041</v>
      </c>
      <c r="E17" s="14">
        <v>2692915</v>
      </c>
      <c r="F17" s="27">
        <f t="shared" si="0"/>
        <v>8640126</v>
      </c>
      <c r="G17" s="14"/>
      <c r="H17" s="19">
        <v>5341566.67</v>
      </c>
      <c r="J17" s="27">
        <f t="shared" si="1"/>
        <v>111808285.33</v>
      </c>
      <c r="K17" s="34">
        <v>0.04</v>
      </c>
      <c r="L17" s="27">
        <f t="shared" si="2"/>
        <v>4472331.4132000003</v>
      </c>
      <c r="M17" s="6">
        <v>31237</v>
      </c>
      <c r="N17" s="43">
        <f t="shared" si="3"/>
        <v>782657.99730999989</v>
      </c>
      <c r="O17" s="43">
        <f t="shared" si="4"/>
        <v>5254989.4105099998</v>
      </c>
    </row>
    <row r="18" spans="1:16" x14ac:dyDescent="0.25">
      <c r="A18" s="7" t="s">
        <v>255</v>
      </c>
      <c r="B18" s="7" t="s">
        <v>256</v>
      </c>
      <c r="C18" s="8">
        <v>120069120</v>
      </c>
      <c r="D18" s="9">
        <v>3549800</v>
      </c>
      <c r="E18" s="14">
        <v>900676</v>
      </c>
      <c r="F18" s="27">
        <f t="shared" si="0"/>
        <v>2649124</v>
      </c>
      <c r="G18" s="14"/>
      <c r="H18" s="19">
        <v>2775349.85</v>
      </c>
      <c r="J18" s="27">
        <f t="shared" si="1"/>
        <v>114644646.15000001</v>
      </c>
      <c r="K18" s="34">
        <v>0.04</v>
      </c>
      <c r="L18" s="27">
        <f t="shared" si="2"/>
        <v>4585785.8459999999</v>
      </c>
      <c r="M18" s="6">
        <v>31238</v>
      </c>
      <c r="N18" s="43">
        <f t="shared" si="3"/>
        <v>802512.52304999996</v>
      </c>
      <c r="O18" s="43">
        <f t="shared" si="4"/>
        <v>5388298.3690499999</v>
      </c>
    </row>
    <row r="19" spans="1:16" x14ac:dyDescent="0.25">
      <c r="A19" s="7" t="s">
        <v>607</v>
      </c>
      <c r="B19" s="7" t="s">
        <v>608</v>
      </c>
      <c r="C19" s="8">
        <v>118096786</v>
      </c>
      <c r="D19" s="9">
        <v>4297947</v>
      </c>
      <c r="E19" s="14">
        <v>3159803</v>
      </c>
      <c r="F19" s="27">
        <f t="shared" si="0"/>
        <v>1138144</v>
      </c>
      <c r="G19" s="14"/>
      <c r="H19" s="19">
        <v>4319906.83</v>
      </c>
      <c r="J19" s="27">
        <f t="shared" si="1"/>
        <v>112638735.17</v>
      </c>
      <c r="K19" s="34">
        <v>0.04</v>
      </c>
      <c r="L19" s="27">
        <f t="shared" si="2"/>
        <v>4505549.4068</v>
      </c>
      <c r="M19" s="6">
        <v>31239</v>
      </c>
      <c r="N19" s="43">
        <f t="shared" si="3"/>
        <v>788471.14618999988</v>
      </c>
      <c r="O19" s="43">
        <f t="shared" si="4"/>
        <v>5294020.5529899998</v>
      </c>
    </row>
    <row r="20" spans="1:16" x14ac:dyDescent="0.25">
      <c r="A20" s="7" t="s">
        <v>853</v>
      </c>
      <c r="B20" s="7" t="s">
        <v>854</v>
      </c>
      <c r="C20" s="8">
        <v>114214680</v>
      </c>
      <c r="D20" s="9">
        <v>4090153</v>
      </c>
      <c r="E20" s="14">
        <v>4090153</v>
      </c>
      <c r="F20" s="27">
        <f t="shared" si="0"/>
        <v>0</v>
      </c>
      <c r="G20" s="14"/>
      <c r="H20" s="19">
        <v>8548033.3499999996</v>
      </c>
      <c r="J20" s="27">
        <f t="shared" si="1"/>
        <v>105666646.65000001</v>
      </c>
      <c r="K20" s="34">
        <v>0.04</v>
      </c>
      <c r="L20" s="27">
        <f t="shared" si="2"/>
        <v>4226665.8660000004</v>
      </c>
      <c r="M20" s="6">
        <v>31240</v>
      </c>
      <c r="N20" s="43">
        <f t="shared" si="3"/>
        <v>739666.52654999995</v>
      </c>
      <c r="O20" s="43">
        <f t="shared" si="4"/>
        <v>4966332.39255</v>
      </c>
    </row>
    <row r="21" spans="1:16" x14ac:dyDescent="0.25">
      <c r="A21" s="7" t="s">
        <v>841</v>
      </c>
      <c r="B21" s="7" t="s">
        <v>842</v>
      </c>
      <c r="C21" s="8">
        <v>109883827</v>
      </c>
      <c r="D21" s="9">
        <v>4579604</v>
      </c>
      <c r="E21" s="14">
        <v>3249178</v>
      </c>
      <c r="F21" s="27">
        <f t="shared" si="0"/>
        <v>1330426</v>
      </c>
      <c r="G21" s="17">
        <v>320920</v>
      </c>
      <c r="H21" s="19">
        <v>2727612.68</v>
      </c>
      <c r="I21" s="19">
        <v>51456780</v>
      </c>
      <c r="J21" s="27">
        <f t="shared" si="1"/>
        <v>54048088.319999993</v>
      </c>
      <c r="K21" s="34">
        <v>0.03</v>
      </c>
      <c r="L21" s="27">
        <f t="shared" si="2"/>
        <v>1621442.6495999997</v>
      </c>
      <c r="M21" s="6">
        <v>31241</v>
      </c>
      <c r="N21" s="43">
        <f t="shared" si="3"/>
        <v>378336.61823999992</v>
      </c>
      <c r="O21" s="43">
        <f t="shared" si="4"/>
        <v>1999779.2678399996</v>
      </c>
      <c r="P21" s="6" t="s">
        <v>1043</v>
      </c>
    </row>
    <row r="22" spans="1:16" x14ac:dyDescent="0.25">
      <c r="A22" s="7" t="s">
        <v>989</v>
      </c>
      <c r="B22" s="7" t="s">
        <v>990</v>
      </c>
      <c r="C22" s="8">
        <v>108009799</v>
      </c>
      <c r="D22" s="9">
        <v>1017181</v>
      </c>
      <c r="E22" s="14">
        <v>685981</v>
      </c>
      <c r="F22" s="27">
        <f t="shared" si="0"/>
        <v>331200</v>
      </c>
      <c r="G22" s="14"/>
      <c r="H22" s="19">
        <v>5227654.4000000004</v>
      </c>
      <c r="J22" s="27">
        <f t="shared" si="1"/>
        <v>102450944.59999999</v>
      </c>
      <c r="K22" s="34">
        <v>0.04</v>
      </c>
      <c r="L22" s="27">
        <f t="shared" si="2"/>
        <v>4098037.784</v>
      </c>
      <c r="M22" s="6">
        <v>31242</v>
      </c>
      <c r="N22" s="43">
        <f t="shared" si="3"/>
        <v>717156.61219999986</v>
      </c>
      <c r="O22" s="43">
        <f t="shared" si="4"/>
        <v>4815194.3961999994</v>
      </c>
    </row>
    <row r="23" spans="1:16" x14ac:dyDescent="0.25">
      <c r="A23" s="7" t="s">
        <v>427</v>
      </c>
      <c r="B23" s="7" t="s">
        <v>428</v>
      </c>
      <c r="C23" s="8">
        <v>105713735</v>
      </c>
      <c r="D23" s="9">
        <v>1473887</v>
      </c>
      <c r="E23" s="14">
        <v>884979</v>
      </c>
      <c r="F23" s="27">
        <f t="shared" si="0"/>
        <v>588908</v>
      </c>
      <c r="G23" s="14"/>
      <c r="H23" s="19">
        <v>5484555.96</v>
      </c>
      <c r="J23" s="27">
        <f t="shared" si="1"/>
        <v>99640271.040000007</v>
      </c>
      <c r="K23" s="35">
        <v>3.5000000000000003E-2</v>
      </c>
      <c r="L23" s="27">
        <f t="shared" si="2"/>
        <v>3487409.4864000008</v>
      </c>
      <c r="M23" s="6">
        <v>31243</v>
      </c>
      <c r="N23" s="43">
        <f t="shared" si="3"/>
        <v>697481.89727999992</v>
      </c>
      <c r="O23" s="43">
        <f t="shared" si="4"/>
        <v>4184891.3836800009</v>
      </c>
    </row>
    <row r="24" spans="1:16" x14ac:dyDescent="0.25">
      <c r="A24" s="7" t="s">
        <v>823</v>
      </c>
      <c r="B24" s="7" t="s">
        <v>824</v>
      </c>
      <c r="C24" s="8">
        <v>104195198</v>
      </c>
      <c r="D24" s="9">
        <v>7446313</v>
      </c>
      <c r="E24" s="14">
        <v>3144498</v>
      </c>
      <c r="F24" s="27">
        <f t="shared" si="0"/>
        <v>4301815</v>
      </c>
      <c r="G24" s="17">
        <v>1697750</v>
      </c>
      <c r="J24" s="27">
        <f t="shared" si="1"/>
        <v>98195633</v>
      </c>
      <c r="K24" s="35">
        <v>3.5000000000000003E-2</v>
      </c>
      <c r="L24" s="27">
        <f t="shared" si="2"/>
        <v>3436847.1550000003</v>
      </c>
      <c r="M24" s="6">
        <v>31244</v>
      </c>
      <c r="N24" s="43">
        <f t="shared" si="3"/>
        <v>687369.43099999998</v>
      </c>
      <c r="O24" s="43">
        <f t="shared" si="4"/>
        <v>4124216.5860000001</v>
      </c>
    </row>
    <row r="25" spans="1:16" x14ac:dyDescent="0.25">
      <c r="A25" s="7" t="s">
        <v>749</v>
      </c>
      <c r="B25" s="7" t="s">
        <v>750</v>
      </c>
      <c r="C25" s="8">
        <v>99988613</v>
      </c>
      <c r="D25" s="9">
        <v>8247016</v>
      </c>
      <c r="E25" s="14">
        <v>878789</v>
      </c>
      <c r="F25" s="27">
        <f t="shared" si="0"/>
        <v>7368227</v>
      </c>
      <c r="G25" s="14"/>
      <c r="H25" s="19">
        <v>5108652.87</v>
      </c>
      <c r="J25" s="27">
        <f t="shared" si="1"/>
        <v>87511733.129999995</v>
      </c>
      <c r="K25" s="35">
        <v>3.5000000000000003E-2</v>
      </c>
      <c r="L25" s="27">
        <f t="shared" si="2"/>
        <v>3062910.65955</v>
      </c>
      <c r="M25" s="6">
        <v>31245</v>
      </c>
      <c r="N25" s="43">
        <f t="shared" si="3"/>
        <v>612582.13190999988</v>
      </c>
      <c r="O25" s="43">
        <f t="shared" si="4"/>
        <v>3675492.79146</v>
      </c>
    </row>
    <row r="26" spans="1:16" x14ac:dyDescent="0.25">
      <c r="A26" s="7" t="s">
        <v>621</v>
      </c>
      <c r="B26" s="7" t="s">
        <v>622</v>
      </c>
      <c r="C26" s="8">
        <v>92725651</v>
      </c>
      <c r="D26" s="9">
        <v>3707327</v>
      </c>
      <c r="E26" s="14">
        <v>767837</v>
      </c>
      <c r="F26" s="27">
        <f t="shared" si="0"/>
        <v>2939490</v>
      </c>
      <c r="G26" s="14"/>
      <c r="J26" s="27">
        <f t="shared" si="1"/>
        <v>89786161</v>
      </c>
      <c r="K26" s="35">
        <v>3.5000000000000003E-2</v>
      </c>
      <c r="L26" s="27">
        <f t="shared" si="2"/>
        <v>3142515.6350000002</v>
      </c>
      <c r="M26" s="6">
        <v>31246</v>
      </c>
      <c r="N26" s="43">
        <f t="shared" si="3"/>
        <v>628503.12699999998</v>
      </c>
      <c r="O26" s="43">
        <f t="shared" si="4"/>
        <v>3771018.7620000001</v>
      </c>
    </row>
    <row r="27" spans="1:16" x14ac:dyDescent="0.25">
      <c r="A27" s="7" t="s">
        <v>793</v>
      </c>
      <c r="B27" s="7" t="s">
        <v>794</v>
      </c>
      <c r="C27" s="8">
        <v>91017029</v>
      </c>
      <c r="D27" s="9">
        <v>334405</v>
      </c>
      <c r="E27" s="14">
        <v>334405</v>
      </c>
      <c r="F27" s="27">
        <f t="shared" si="0"/>
        <v>0</v>
      </c>
      <c r="G27" s="14"/>
      <c r="J27" s="27">
        <f t="shared" si="1"/>
        <v>91017029</v>
      </c>
      <c r="K27" s="35">
        <v>3.5000000000000003E-2</v>
      </c>
      <c r="L27" s="27">
        <f t="shared" si="2"/>
        <v>3185596.0150000001</v>
      </c>
      <c r="M27" s="6">
        <v>31247</v>
      </c>
      <c r="N27" s="43">
        <f t="shared" si="3"/>
        <v>637119.20299999998</v>
      </c>
      <c r="O27" s="43">
        <f t="shared" si="4"/>
        <v>3822715.2180000003</v>
      </c>
    </row>
    <row r="28" spans="1:16" x14ac:dyDescent="0.25">
      <c r="A28" s="7" t="s">
        <v>195</v>
      </c>
      <c r="B28" s="7" t="s">
        <v>196</v>
      </c>
      <c r="C28" s="8">
        <v>86326968</v>
      </c>
      <c r="D28" s="9">
        <v>2325642</v>
      </c>
      <c r="E28" s="14">
        <v>1615078</v>
      </c>
      <c r="F28" s="27">
        <f t="shared" si="0"/>
        <v>710564</v>
      </c>
      <c r="G28" s="14"/>
      <c r="H28" s="19">
        <v>3397503.93</v>
      </c>
      <c r="J28" s="27">
        <f t="shared" si="1"/>
        <v>82218900.069999993</v>
      </c>
      <c r="K28" s="35">
        <v>3.5000000000000003E-2</v>
      </c>
      <c r="L28" s="27">
        <f t="shared" si="2"/>
        <v>2877661.50245</v>
      </c>
      <c r="M28" s="6">
        <v>31248</v>
      </c>
      <c r="N28" s="43">
        <f t="shared" si="3"/>
        <v>575532.30048999994</v>
      </c>
      <c r="O28" s="43">
        <f t="shared" si="4"/>
        <v>3453193.8029399998</v>
      </c>
    </row>
    <row r="29" spans="1:16" x14ac:dyDescent="0.25">
      <c r="A29" s="7" t="s">
        <v>307</v>
      </c>
      <c r="B29" s="7" t="s">
        <v>308</v>
      </c>
      <c r="C29" s="8">
        <v>85314587</v>
      </c>
      <c r="D29" s="9">
        <v>256284</v>
      </c>
      <c r="E29" s="14">
        <v>256284</v>
      </c>
      <c r="F29" s="27">
        <f t="shared" si="0"/>
        <v>0</v>
      </c>
      <c r="G29" s="14"/>
      <c r="H29" s="19">
        <v>2140857</v>
      </c>
      <c r="J29" s="27">
        <f t="shared" si="1"/>
        <v>83173730</v>
      </c>
      <c r="K29" s="35">
        <v>3.5000000000000003E-2</v>
      </c>
      <c r="L29" s="27">
        <f t="shared" si="2"/>
        <v>2911080.5500000003</v>
      </c>
      <c r="M29" s="6">
        <v>31249</v>
      </c>
      <c r="N29" s="43">
        <f t="shared" si="3"/>
        <v>582216.11</v>
      </c>
      <c r="O29" s="43">
        <f t="shared" si="4"/>
        <v>3493296.66</v>
      </c>
    </row>
    <row r="30" spans="1:16" x14ac:dyDescent="0.25">
      <c r="A30" s="7" t="s">
        <v>623</v>
      </c>
      <c r="B30" s="7" t="s">
        <v>624</v>
      </c>
      <c r="C30" s="8">
        <v>84132206</v>
      </c>
      <c r="D30" s="9">
        <v>6180585</v>
      </c>
      <c r="E30" s="14">
        <v>1814450</v>
      </c>
      <c r="F30" s="27">
        <f t="shared" si="0"/>
        <v>4366135</v>
      </c>
      <c r="G30" s="14"/>
      <c r="H30" s="19">
        <v>4824033.47</v>
      </c>
      <c r="J30" s="27">
        <f t="shared" si="1"/>
        <v>74942037.530000001</v>
      </c>
      <c r="K30" s="35">
        <v>3.5000000000000003E-2</v>
      </c>
      <c r="L30" s="27">
        <f t="shared" si="2"/>
        <v>2622971.3135500001</v>
      </c>
      <c r="M30" s="6">
        <v>31250</v>
      </c>
      <c r="N30" s="43">
        <f t="shared" si="3"/>
        <v>524594.26270999992</v>
      </c>
      <c r="O30" s="43">
        <f t="shared" si="4"/>
        <v>3147565.57626</v>
      </c>
    </row>
    <row r="31" spans="1:16" x14ac:dyDescent="0.25">
      <c r="A31" s="7" t="s">
        <v>553</v>
      </c>
      <c r="B31" s="7" t="s">
        <v>554</v>
      </c>
      <c r="C31" s="8">
        <v>81784630.959999993</v>
      </c>
      <c r="D31" s="9">
        <v>0</v>
      </c>
      <c r="F31" s="27">
        <f t="shared" si="0"/>
        <v>0</v>
      </c>
      <c r="G31" s="14"/>
      <c r="H31" s="19">
        <v>4075514</v>
      </c>
      <c r="J31" s="27">
        <f t="shared" si="1"/>
        <v>77709116.959999993</v>
      </c>
      <c r="K31" s="35">
        <v>3.5000000000000003E-2</v>
      </c>
      <c r="L31" s="27">
        <f t="shared" si="2"/>
        <v>2719819.0936000003</v>
      </c>
      <c r="M31" s="6">
        <v>31251</v>
      </c>
      <c r="N31" s="43">
        <f t="shared" si="3"/>
        <v>543963.81871999986</v>
      </c>
      <c r="O31" s="43">
        <f t="shared" si="4"/>
        <v>3263782.9123200001</v>
      </c>
    </row>
    <row r="32" spans="1:16" x14ac:dyDescent="0.25">
      <c r="A32" s="7" t="s">
        <v>457</v>
      </c>
      <c r="B32" s="7" t="s">
        <v>458</v>
      </c>
      <c r="C32" s="8">
        <v>80204322</v>
      </c>
      <c r="D32" s="9">
        <v>441561</v>
      </c>
      <c r="E32" s="14">
        <v>441561</v>
      </c>
      <c r="F32" s="27">
        <f t="shared" si="0"/>
        <v>0</v>
      </c>
      <c r="G32" s="14"/>
      <c r="H32" s="19">
        <v>4330861.26</v>
      </c>
      <c r="J32" s="27">
        <f t="shared" si="1"/>
        <v>75873460.739999995</v>
      </c>
      <c r="K32" s="35">
        <v>3.5000000000000003E-2</v>
      </c>
      <c r="L32" s="27">
        <f t="shared" si="2"/>
        <v>2655571.1258999999</v>
      </c>
      <c r="M32" s="6">
        <v>31252</v>
      </c>
      <c r="N32" s="43">
        <f t="shared" si="3"/>
        <v>531114.22517999995</v>
      </c>
      <c r="O32" s="43">
        <f t="shared" si="4"/>
        <v>3186685.3510799999</v>
      </c>
    </row>
    <row r="33" spans="1:16" x14ac:dyDescent="0.25">
      <c r="A33" s="7" t="s">
        <v>393</v>
      </c>
      <c r="B33" s="7" t="s">
        <v>394</v>
      </c>
      <c r="C33" s="8">
        <v>80044225</v>
      </c>
      <c r="D33" s="9">
        <v>2445434</v>
      </c>
      <c r="E33" s="14">
        <v>819151</v>
      </c>
      <c r="F33" s="27">
        <f t="shared" si="0"/>
        <v>1626283</v>
      </c>
      <c r="G33" s="14"/>
      <c r="H33" s="19">
        <v>1879958.58</v>
      </c>
      <c r="J33" s="27">
        <f t="shared" si="1"/>
        <v>76537983.420000002</v>
      </c>
      <c r="K33" s="35">
        <v>3.5000000000000003E-2</v>
      </c>
      <c r="L33" s="27">
        <f t="shared" si="2"/>
        <v>2678829.4197000004</v>
      </c>
      <c r="M33" s="6">
        <v>31253</v>
      </c>
      <c r="N33" s="43">
        <f t="shared" si="3"/>
        <v>535765.88393999997</v>
      </c>
      <c r="O33" s="43">
        <f t="shared" si="4"/>
        <v>3214595.3036400005</v>
      </c>
    </row>
    <row r="34" spans="1:16" s="40" customFormat="1" x14ac:dyDescent="0.25">
      <c r="A34" s="37" t="s">
        <v>595</v>
      </c>
      <c r="B34" s="37" t="s">
        <v>596</v>
      </c>
      <c r="C34" s="8">
        <v>78403586</v>
      </c>
      <c r="D34" s="8">
        <v>8948417</v>
      </c>
      <c r="E34" s="13">
        <v>2923241</v>
      </c>
      <c r="F34" s="38">
        <f t="shared" si="0"/>
        <v>6025176</v>
      </c>
      <c r="G34" s="13"/>
      <c r="H34" s="39"/>
      <c r="I34" s="39"/>
      <c r="J34" s="38">
        <f t="shared" si="1"/>
        <v>72378410</v>
      </c>
      <c r="K34" s="57">
        <v>3.5000000000000003E-2</v>
      </c>
      <c r="L34" s="38">
        <f t="shared" si="2"/>
        <v>2533244.35</v>
      </c>
      <c r="M34" s="39">
        <v>31254</v>
      </c>
      <c r="N34" s="47">
        <f t="shared" si="3"/>
        <v>506648.86999999994</v>
      </c>
      <c r="O34" s="47">
        <f t="shared" si="4"/>
        <v>3039893.22</v>
      </c>
      <c r="P34" s="39"/>
    </row>
    <row r="35" spans="1:16" x14ac:dyDescent="0.25">
      <c r="A35" s="7" t="s">
        <v>379</v>
      </c>
      <c r="B35" s="7" t="s">
        <v>380</v>
      </c>
      <c r="C35" s="8">
        <v>69474219</v>
      </c>
      <c r="D35" s="9">
        <v>2949912</v>
      </c>
      <c r="E35" s="14">
        <v>1894069</v>
      </c>
      <c r="F35" s="27">
        <f t="shared" si="0"/>
        <v>1055843</v>
      </c>
      <c r="G35" s="14"/>
      <c r="J35" s="27">
        <f t="shared" si="1"/>
        <v>68418376</v>
      </c>
      <c r="K35" s="34">
        <v>0.03</v>
      </c>
      <c r="L35" s="27">
        <f t="shared" si="2"/>
        <v>2052551.28</v>
      </c>
      <c r="M35" s="6">
        <v>31255</v>
      </c>
      <c r="N35" s="43">
        <f t="shared" si="3"/>
        <v>478928.63199999993</v>
      </c>
      <c r="O35" s="43">
        <f t="shared" si="4"/>
        <v>2531479.912</v>
      </c>
    </row>
    <row r="36" spans="1:16" x14ac:dyDescent="0.25">
      <c r="A36" s="7" t="s">
        <v>663</v>
      </c>
      <c r="B36" s="7" t="s">
        <v>664</v>
      </c>
      <c r="C36" s="8">
        <v>67188543</v>
      </c>
      <c r="D36" s="9">
        <v>906846</v>
      </c>
      <c r="E36" s="14">
        <v>906846</v>
      </c>
      <c r="F36" s="27">
        <f t="shared" si="0"/>
        <v>0</v>
      </c>
      <c r="G36" s="14"/>
      <c r="H36" s="19">
        <v>2737023.46</v>
      </c>
      <c r="J36" s="27">
        <f t="shared" si="1"/>
        <v>64451519.539999999</v>
      </c>
      <c r="K36" s="34">
        <v>0.03</v>
      </c>
      <c r="L36" s="27">
        <f t="shared" si="2"/>
        <v>1933545.5861999998</v>
      </c>
      <c r="M36" s="6">
        <v>31256</v>
      </c>
      <c r="N36" s="43">
        <f t="shared" si="3"/>
        <v>451160.63677999994</v>
      </c>
      <c r="O36" s="43">
        <f t="shared" si="4"/>
        <v>2384706.2229799996</v>
      </c>
    </row>
    <row r="37" spans="1:16" x14ac:dyDescent="0.25">
      <c r="A37" s="7" t="s">
        <v>1011</v>
      </c>
      <c r="B37" s="7" t="s">
        <v>1012</v>
      </c>
      <c r="C37" s="8">
        <v>61701816</v>
      </c>
      <c r="D37" s="9">
        <v>0</v>
      </c>
      <c r="F37" s="27">
        <f t="shared" si="0"/>
        <v>0</v>
      </c>
      <c r="G37" s="17">
        <v>193000</v>
      </c>
      <c r="H37" s="19">
        <v>11174.51</v>
      </c>
      <c r="J37" s="27">
        <f t="shared" si="1"/>
        <v>61497641.490000002</v>
      </c>
      <c r="K37" s="34"/>
      <c r="L37" s="27">
        <f t="shared" si="2"/>
        <v>0</v>
      </c>
      <c r="N37" s="43">
        <f t="shared" si="3"/>
        <v>430483.49042999995</v>
      </c>
      <c r="O37" s="43">
        <f t="shared" si="4"/>
        <v>430483.49042999995</v>
      </c>
    </row>
    <row r="38" spans="1:16" x14ac:dyDescent="0.25">
      <c r="A38" s="7" t="s">
        <v>667</v>
      </c>
      <c r="B38" s="7" t="s">
        <v>668</v>
      </c>
      <c r="C38" s="8">
        <v>61602365</v>
      </c>
      <c r="D38" s="9">
        <v>378512</v>
      </c>
      <c r="E38" s="14">
        <v>378512</v>
      </c>
      <c r="F38" s="27">
        <f t="shared" si="0"/>
        <v>0</v>
      </c>
      <c r="G38" s="14"/>
      <c r="H38" s="19">
        <v>607981.80000000005</v>
      </c>
      <c r="J38" s="27">
        <f t="shared" si="1"/>
        <v>60994383.200000003</v>
      </c>
      <c r="K38" s="34">
        <v>0.03</v>
      </c>
      <c r="L38" s="27">
        <f t="shared" si="2"/>
        <v>1829831.496</v>
      </c>
      <c r="M38" s="6">
        <v>31257</v>
      </c>
      <c r="N38" s="43">
        <f t="shared" si="3"/>
        <v>426960.68239999999</v>
      </c>
      <c r="O38" s="43">
        <f t="shared" si="4"/>
        <v>2256792.1784000001</v>
      </c>
    </row>
    <row r="39" spans="1:16" x14ac:dyDescent="0.25">
      <c r="A39" s="7" t="s">
        <v>293</v>
      </c>
      <c r="B39" s="7" t="s">
        <v>294</v>
      </c>
      <c r="C39" s="8">
        <v>60966954</v>
      </c>
      <c r="D39" s="9">
        <v>3478807</v>
      </c>
      <c r="E39" s="14">
        <v>1826446</v>
      </c>
      <c r="F39" s="27">
        <f t="shared" si="0"/>
        <v>1652361</v>
      </c>
      <c r="G39" s="14"/>
      <c r="H39" s="19">
        <v>3579986.36</v>
      </c>
      <c r="J39" s="27">
        <f t="shared" si="1"/>
        <v>55734606.640000001</v>
      </c>
      <c r="K39" s="34">
        <v>0.03</v>
      </c>
      <c r="L39" s="27">
        <f t="shared" si="2"/>
        <v>1672038.1991999999</v>
      </c>
      <c r="M39" s="6">
        <v>31258</v>
      </c>
      <c r="N39" s="43">
        <f t="shared" si="3"/>
        <v>390142.24647999997</v>
      </c>
      <c r="O39" s="43">
        <f t="shared" si="4"/>
        <v>2062180.4456799999</v>
      </c>
    </row>
    <row r="40" spans="1:16" x14ac:dyDescent="0.25">
      <c r="A40" s="7" t="s">
        <v>835</v>
      </c>
      <c r="B40" s="7" t="s">
        <v>836</v>
      </c>
      <c r="C40" s="8">
        <v>58038273</v>
      </c>
      <c r="D40" s="9">
        <v>303625</v>
      </c>
      <c r="F40" s="27">
        <f t="shared" si="0"/>
        <v>303625</v>
      </c>
      <c r="G40" s="17">
        <v>295000</v>
      </c>
      <c r="H40" s="19">
        <v>2754844.61</v>
      </c>
      <c r="J40" s="27">
        <f t="shared" si="1"/>
        <v>54684803.390000001</v>
      </c>
      <c r="K40" s="34">
        <v>0.03</v>
      </c>
      <c r="L40" s="27">
        <f t="shared" si="2"/>
        <v>1640544.1017</v>
      </c>
      <c r="M40" s="6">
        <v>31259</v>
      </c>
      <c r="N40" s="43">
        <f t="shared" si="3"/>
        <v>382793.62372999999</v>
      </c>
      <c r="O40" s="43">
        <f t="shared" si="4"/>
        <v>2023337.7254300001</v>
      </c>
    </row>
    <row r="41" spans="1:16" x14ac:dyDescent="0.25">
      <c r="A41" s="7" t="s">
        <v>561</v>
      </c>
      <c r="B41" s="7" t="s">
        <v>562</v>
      </c>
      <c r="C41" s="8">
        <v>56904731</v>
      </c>
      <c r="D41" s="9">
        <v>4554323</v>
      </c>
      <c r="E41" s="14">
        <v>3105424</v>
      </c>
      <c r="F41" s="27">
        <f t="shared" si="0"/>
        <v>1448899</v>
      </c>
      <c r="G41" s="14"/>
      <c r="H41" s="19">
        <v>2871702.92</v>
      </c>
      <c r="J41" s="27">
        <f t="shared" si="1"/>
        <v>52584129.079999998</v>
      </c>
      <c r="K41" s="34">
        <v>0.03</v>
      </c>
      <c r="L41" s="27">
        <f t="shared" si="2"/>
        <v>1577523.8724</v>
      </c>
      <c r="M41" s="6">
        <v>31260</v>
      </c>
      <c r="N41" s="43">
        <f t="shared" si="3"/>
        <v>368088.90355999995</v>
      </c>
      <c r="O41" s="43">
        <f t="shared" si="4"/>
        <v>1945612.77596</v>
      </c>
    </row>
    <row r="42" spans="1:16" s="5" customFormat="1" x14ac:dyDescent="0.25">
      <c r="A42" s="10" t="s">
        <v>47</v>
      </c>
      <c r="B42" s="10" t="s">
        <v>48</v>
      </c>
      <c r="C42" s="11">
        <v>55714114</v>
      </c>
      <c r="D42" s="11">
        <v>0</v>
      </c>
      <c r="E42" s="15"/>
      <c r="F42" s="27">
        <f t="shared" si="0"/>
        <v>0</v>
      </c>
      <c r="G42" s="18">
        <v>50000</v>
      </c>
      <c r="H42" s="12"/>
      <c r="I42" s="12"/>
      <c r="J42" s="27">
        <f t="shared" si="1"/>
        <v>55664114</v>
      </c>
      <c r="K42" s="34"/>
      <c r="L42" s="27">
        <f t="shared" si="2"/>
        <v>0</v>
      </c>
      <c r="M42" s="12"/>
      <c r="N42" s="43">
        <f t="shared" si="3"/>
        <v>389648.79799999995</v>
      </c>
      <c r="O42" s="43">
        <f t="shared" si="4"/>
        <v>389648.79799999995</v>
      </c>
      <c r="P42" s="12"/>
    </row>
    <row r="43" spans="1:16" x14ac:dyDescent="0.25">
      <c r="A43" s="7" t="s">
        <v>965</v>
      </c>
      <c r="B43" s="7" t="s">
        <v>966</v>
      </c>
      <c r="C43" s="8">
        <v>54099708</v>
      </c>
      <c r="D43" s="9">
        <v>407149</v>
      </c>
      <c r="E43" s="14">
        <v>407149</v>
      </c>
      <c r="F43" s="27">
        <f t="shared" si="0"/>
        <v>0</v>
      </c>
      <c r="G43" s="14"/>
      <c r="H43" s="19">
        <v>1854965.5</v>
      </c>
      <c r="J43" s="27">
        <f t="shared" si="1"/>
        <v>52244742.5</v>
      </c>
      <c r="K43" s="34">
        <v>0.03</v>
      </c>
      <c r="L43" s="27">
        <f t="shared" si="2"/>
        <v>1567342.2749999999</v>
      </c>
      <c r="M43" s="6">
        <v>31261</v>
      </c>
      <c r="N43" s="43">
        <f t="shared" si="3"/>
        <v>365713.19749999995</v>
      </c>
      <c r="O43" s="43">
        <f t="shared" si="4"/>
        <v>1933055.4724999999</v>
      </c>
    </row>
    <row r="44" spans="1:16" x14ac:dyDescent="0.25">
      <c r="A44" s="7" t="s">
        <v>81</v>
      </c>
      <c r="B44" s="7" t="s">
        <v>82</v>
      </c>
      <c r="C44" s="8">
        <v>53555599.799999997</v>
      </c>
      <c r="D44" s="9">
        <v>5392582</v>
      </c>
      <c r="E44" s="14">
        <v>378509</v>
      </c>
      <c r="F44" s="27">
        <f t="shared" si="0"/>
        <v>5014073</v>
      </c>
      <c r="G44" s="14"/>
      <c r="H44" s="19">
        <v>2560466.98</v>
      </c>
      <c r="J44" s="27">
        <f t="shared" si="1"/>
        <v>45981059.82</v>
      </c>
      <c r="K44" s="35">
        <v>2.5000000000000001E-2</v>
      </c>
      <c r="L44" s="27">
        <f t="shared" si="2"/>
        <v>1149526.4955</v>
      </c>
      <c r="M44" s="6">
        <v>31262</v>
      </c>
      <c r="N44" s="43">
        <f t="shared" si="3"/>
        <v>321867.41873999999</v>
      </c>
      <c r="O44" s="43">
        <f t="shared" si="4"/>
        <v>1471393.9142399998</v>
      </c>
    </row>
    <row r="45" spans="1:16" x14ac:dyDescent="0.25">
      <c r="A45" s="7" t="s">
        <v>981</v>
      </c>
      <c r="B45" s="7" t="s">
        <v>982</v>
      </c>
      <c r="C45" s="8">
        <v>52263781</v>
      </c>
      <c r="D45" s="9">
        <v>915027</v>
      </c>
      <c r="E45" s="14">
        <v>600027</v>
      </c>
      <c r="F45" s="27">
        <f t="shared" si="0"/>
        <v>315000</v>
      </c>
      <c r="G45" s="17">
        <v>655800</v>
      </c>
      <c r="H45" s="19">
        <v>1227703.78</v>
      </c>
      <c r="J45" s="27">
        <f t="shared" si="1"/>
        <v>50065277.219999999</v>
      </c>
      <c r="K45" s="34">
        <v>0.03</v>
      </c>
      <c r="L45" s="27">
        <f t="shared" si="2"/>
        <v>1501958.3166</v>
      </c>
      <c r="M45" s="6">
        <v>31263</v>
      </c>
      <c r="N45" s="43">
        <f t="shared" si="3"/>
        <v>350456.94053999998</v>
      </c>
      <c r="O45" s="43">
        <f t="shared" si="4"/>
        <v>1852415.2571399999</v>
      </c>
    </row>
    <row r="46" spans="1:16" x14ac:dyDescent="0.25">
      <c r="A46" s="7" t="s">
        <v>559</v>
      </c>
      <c r="B46" s="7" t="s">
        <v>560</v>
      </c>
      <c r="C46" s="8">
        <v>51028922</v>
      </c>
      <c r="D46" s="9">
        <v>2281709</v>
      </c>
      <c r="E46" s="14">
        <v>1662609</v>
      </c>
      <c r="F46" s="27">
        <f t="shared" si="0"/>
        <v>619100</v>
      </c>
      <c r="G46" s="17">
        <v>621190</v>
      </c>
      <c r="J46" s="27">
        <f t="shared" si="1"/>
        <v>49788632</v>
      </c>
      <c r="K46" s="35">
        <v>2.5000000000000001E-2</v>
      </c>
      <c r="L46" s="27">
        <f t="shared" si="2"/>
        <v>1244715.8</v>
      </c>
      <c r="M46" s="6">
        <v>31264</v>
      </c>
      <c r="N46" s="43">
        <f t="shared" si="3"/>
        <v>348520.42399999994</v>
      </c>
      <c r="O46" s="43">
        <f t="shared" si="4"/>
        <v>1593236.2239999999</v>
      </c>
    </row>
    <row r="47" spans="1:16" s="70" customFormat="1" x14ac:dyDescent="0.25">
      <c r="A47" s="63" t="s">
        <v>861</v>
      </c>
      <c r="B47" s="63" t="s">
        <v>862</v>
      </c>
      <c r="C47" s="64">
        <v>50841384</v>
      </c>
      <c r="D47" s="64">
        <v>922424</v>
      </c>
      <c r="E47" s="65">
        <v>922424</v>
      </c>
      <c r="F47" s="66">
        <f t="shared" si="0"/>
        <v>0</v>
      </c>
      <c r="G47" s="65"/>
      <c r="H47" s="64">
        <v>1729686.4</v>
      </c>
      <c r="I47" s="67"/>
      <c r="J47" s="66">
        <f t="shared" si="1"/>
        <v>49111697.600000001</v>
      </c>
      <c r="K47" s="68">
        <v>2.5000000000000001E-2</v>
      </c>
      <c r="L47" s="66">
        <f t="shared" si="2"/>
        <v>1227792.4400000002</v>
      </c>
      <c r="M47" s="67">
        <v>31265</v>
      </c>
      <c r="N47" s="69">
        <f t="shared" si="3"/>
        <v>343781.88319999998</v>
      </c>
      <c r="O47" s="69">
        <f t="shared" si="4"/>
        <v>1571574.3232000002</v>
      </c>
      <c r="P47" s="67"/>
    </row>
    <row r="48" spans="1:16" s="70" customFormat="1" x14ac:dyDescent="0.25">
      <c r="A48" s="63"/>
      <c r="B48" s="63"/>
      <c r="C48" s="64">
        <v>42060384</v>
      </c>
      <c r="D48" s="64">
        <v>922424</v>
      </c>
      <c r="E48" s="65">
        <v>922424</v>
      </c>
      <c r="F48" s="66"/>
      <c r="G48" s="65"/>
      <c r="H48" s="64">
        <v>1729686.4</v>
      </c>
      <c r="I48" s="67"/>
      <c r="J48" s="66">
        <f>C48-E48-H48</f>
        <v>39408273.600000001</v>
      </c>
      <c r="K48" s="68">
        <v>2.5000000000000001E-2</v>
      </c>
      <c r="L48" s="66">
        <f t="shared" si="2"/>
        <v>985206.84000000008</v>
      </c>
      <c r="M48" s="67"/>
      <c r="N48" s="69">
        <f t="shared" si="3"/>
        <v>275857.91519999999</v>
      </c>
      <c r="O48" s="69"/>
      <c r="P48" s="67"/>
    </row>
    <row r="49" spans="1:16" x14ac:dyDescent="0.25">
      <c r="A49" s="7" t="s">
        <v>579</v>
      </c>
      <c r="B49" s="7" t="s">
        <v>580</v>
      </c>
      <c r="C49" s="8">
        <v>48919688</v>
      </c>
      <c r="D49" s="9">
        <v>641580</v>
      </c>
      <c r="E49" s="14">
        <v>249580</v>
      </c>
      <c r="F49" s="27">
        <f t="shared" si="0"/>
        <v>392000</v>
      </c>
      <c r="G49" s="17">
        <v>76600</v>
      </c>
      <c r="H49" s="19">
        <v>1555425.71</v>
      </c>
      <c r="J49" s="27">
        <f t="shared" si="1"/>
        <v>46895662.289999999</v>
      </c>
      <c r="K49" s="35">
        <v>2.5000000000000001E-2</v>
      </c>
      <c r="L49" s="27">
        <f t="shared" si="2"/>
        <v>1172391.5572500001</v>
      </c>
      <c r="M49" s="6">
        <v>31266</v>
      </c>
      <c r="N49" s="43">
        <f t="shared" si="3"/>
        <v>328269.63602999994</v>
      </c>
      <c r="O49" s="43">
        <f t="shared" si="4"/>
        <v>1500661.19328</v>
      </c>
    </row>
    <row r="50" spans="1:16" x14ac:dyDescent="0.25">
      <c r="A50" s="7" t="s">
        <v>987</v>
      </c>
      <c r="B50" s="7" t="s">
        <v>988</v>
      </c>
      <c r="C50" s="8">
        <v>47982308</v>
      </c>
      <c r="D50" s="9">
        <v>1384147</v>
      </c>
      <c r="E50" s="14">
        <v>312915</v>
      </c>
      <c r="F50" s="27">
        <f t="shared" si="0"/>
        <v>1071232</v>
      </c>
      <c r="G50" s="14"/>
      <c r="H50" s="19">
        <v>332550.65999999997</v>
      </c>
      <c r="J50" s="27">
        <f t="shared" si="1"/>
        <v>46578525.340000004</v>
      </c>
      <c r="K50" s="35">
        <v>2.5000000000000001E-2</v>
      </c>
      <c r="L50" s="27">
        <f t="shared" si="2"/>
        <v>1164463.1335000002</v>
      </c>
      <c r="M50" s="6">
        <v>31267</v>
      </c>
      <c r="N50" s="43">
        <f t="shared" si="3"/>
        <v>326049.67738000001</v>
      </c>
      <c r="O50" s="43">
        <f t="shared" si="4"/>
        <v>1490512.8108800002</v>
      </c>
    </row>
    <row r="51" spans="1:16" x14ac:dyDescent="0.25">
      <c r="A51" s="7" t="s">
        <v>513</v>
      </c>
      <c r="B51" s="7" t="s">
        <v>514</v>
      </c>
      <c r="C51" s="8">
        <v>47787711</v>
      </c>
      <c r="D51" s="9">
        <v>2148271</v>
      </c>
      <c r="E51" s="14">
        <v>633129</v>
      </c>
      <c r="F51" s="27">
        <f t="shared" si="0"/>
        <v>1515142</v>
      </c>
      <c r="G51" s="17">
        <v>605200</v>
      </c>
      <c r="H51" s="19">
        <v>2340557.64</v>
      </c>
      <c r="J51" s="27">
        <f t="shared" si="1"/>
        <v>43326811.359999999</v>
      </c>
      <c r="K51" s="35">
        <v>2.5000000000000001E-2</v>
      </c>
      <c r="L51" s="27">
        <f t="shared" si="2"/>
        <v>1083170.284</v>
      </c>
      <c r="M51" s="6">
        <v>31272</v>
      </c>
      <c r="N51" s="43">
        <f t="shared" si="3"/>
        <v>303287.67951999995</v>
      </c>
      <c r="O51" s="43">
        <f t="shared" si="4"/>
        <v>1386457.96352</v>
      </c>
    </row>
    <row r="52" spans="1:16" x14ac:dyDescent="0.25">
      <c r="A52" s="7" t="s">
        <v>827</v>
      </c>
      <c r="B52" s="7" t="s">
        <v>828</v>
      </c>
      <c r="C52" s="8">
        <v>47357516</v>
      </c>
      <c r="D52" s="9">
        <v>3413885</v>
      </c>
      <c r="E52" s="14">
        <v>1730742</v>
      </c>
      <c r="F52" s="27">
        <f t="shared" si="0"/>
        <v>1683143</v>
      </c>
      <c r="G52" s="14"/>
      <c r="H52" s="19">
        <v>2571887.2599999998</v>
      </c>
      <c r="J52" s="27">
        <f t="shared" si="1"/>
        <v>43102485.740000002</v>
      </c>
      <c r="K52" s="35">
        <v>2.5000000000000001E-2</v>
      </c>
      <c r="L52" s="27">
        <f t="shared" si="2"/>
        <v>1077562.1435</v>
      </c>
      <c r="M52" s="6">
        <v>31273</v>
      </c>
      <c r="N52" s="43">
        <f t="shared" si="3"/>
        <v>301717.40018</v>
      </c>
      <c r="O52" s="43">
        <f t="shared" si="4"/>
        <v>1379279.5436800001</v>
      </c>
    </row>
    <row r="53" spans="1:16" x14ac:dyDescent="0.25">
      <c r="A53" s="7" t="s">
        <v>679</v>
      </c>
      <c r="B53" s="7" t="s">
        <v>680</v>
      </c>
      <c r="C53" s="8">
        <v>45530831</v>
      </c>
      <c r="D53" s="9">
        <v>2801615</v>
      </c>
      <c r="E53" s="14">
        <v>1503517</v>
      </c>
      <c r="F53" s="27">
        <f t="shared" si="0"/>
        <v>1298098</v>
      </c>
      <c r="G53" s="17">
        <v>1329963</v>
      </c>
      <c r="J53" s="27">
        <f t="shared" si="1"/>
        <v>42902770</v>
      </c>
      <c r="K53" s="35">
        <v>2.5000000000000001E-2</v>
      </c>
      <c r="L53" s="27">
        <f t="shared" si="2"/>
        <v>1072569.25</v>
      </c>
      <c r="M53" s="6">
        <v>31274</v>
      </c>
      <c r="N53" s="43">
        <f t="shared" si="3"/>
        <v>300319.38999999996</v>
      </c>
      <c r="O53" s="43">
        <f t="shared" si="4"/>
        <v>1372888.64</v>
      </c>
    </row>
    <row r="54" spans="1:16" x14ac:dyDescent="0.25">
      <c r="A54" s="7" t="s">
        <v>185</v>
      </c>
      <c r="B54" s="7" t="s">
        <v>186</v>
      </c>
      <c r="C54" s="8">
        <v>45026252</v>
      </c>
      <c r="D54" s="9">
        <v>6416525</v>
      </c>
      <c r="E54" s="14">
        <v>2944448</v>
      </c>
      <c r="F54" s="27">
        <f t="shared" si="0"/>
        <v>3472077</v>
      </c>
      <c r="G54" s="17">
        <v>902625</v>
      </c>
      <c r="J54" s="27">
        <f t="shared" si="1"/>
        <v>40651550</v>
      </c>
      <c r="K54" s="35">
        <v>2.5000000000000001E-2</v>
      </c>
      <c r="L54" s="27">
        <f t="shared" si="2"/>
        <v>1016288.75</v>
      </c>
      <c r="M54" s="6">
        <v>31275</v>
      </c>
      <c r="N54" s="43">
        <f t="shared" si="3"/>
        <v>284560.84999999998</v>
      </c>
      <c r="O54" s="43">
        <f t="shared" si="4"/>
        <v>1300849.6000000001</v>
      </c>
    </row>
    <row r="55" spans="1:16" x14ac:dyDescent="0.25">
      <c r="A55" s="7" t="s">
        <v>345</v>
      </c>
      <c r="B55" s="7" t="s">
        <v>346</v>
      </c>
      <c r="C55" s="8">
        <v>44668214</v>
      </c>
      <c r="D55" s="9">
        <v>394662</v>
      </c>
      <c r="E55" s="14">
        <v>394662</v>
      </c>
      <c r="F55" s="27">
        <f t="shared" si="0"/>
        <v>0</v>
      </c>
      <c r="G55" s="14"/>
      <c r="J55" s="27">
        <f t="shared" si="1"/>
        <v>44668214</v>
      </c>
      <c r="K55" s="35">
        <v>2.5000000000000001E-2</v>
      </c>
      <c r="L55" s="27">
        <f t="shared" si="2"/>
        <v>1116705.3500000001</v>
      </c>
      <c r="M55" s="6">
        <v>31276</v>
      </c>
      <c r="N55" s="43">
        <f t="shared" si="3"/>
        <v>312677.49799999996</v>
      </c>
      <c r="O55" s="43">
        <f t="shared" si="4"/>
        <v>1429382.848</v>
      </c>
    </row>
    <row r="56" spans="1:16" x14ac:dyDescent="0.25">
      <c r="A56" s="7" t="s">
        <v>557</v>
      </c>
      <c r="B56" s="7" t="s">
        <v>558</v>
      </c>
      <c r="C56" s="8">
        <v>44413520</v>
      </c>
      <c r="D56" s="9">
        <v>753060</v>
      </c>
      <c r="F56" s="27">
        <f t="shared" si="0"/>
        <v>753060</v>
      </c>
      <c r="G56" s="17">
        <v>165400</v>
      </c>
      <c r="H56" s="19">
        <v>1931771.9</v>
      </c>
      <c r="J56" s="27">
        <f t="shared" si="1"/>
        <v>41563288.100000001</v>
      </c>
      <c r="K56" s="35">
        <v>2.5000000000000001E-2</v>
      </c>
      <c r="L56" s="27">
        <f t="shared" si="2"/>
        <v>1039082.2025000001</v>
      </c>
      <c r="M56" s="6">
        <v>31277</v>
      </c>
      <c r="N56" s="43">
        <f t="shared" si="3"/>
        <v>290943.01669999998</v>
      </c>
      <c r="O56" s="43">
        <f t="shared" si="4"/>
        <v>1330025.2192000002</v>
      </c>
    </row>
    <row r="57" spans="1:16" x14ac:dyDescent="0.25">
      <c r="A57" s="7" t="s">
        <v>757</v>
      </c>
      <c r="B57" s="7" t="s">
        <v>758</v>
      </c>
      <c r="C57" s="8">
        <v>44126474</v>
      </c>
      <c r="D57" s="9">
        <v>4624847</v>
      </c>
      <c r="E57" s="14">
        <v>418822</v>
      </c>
      <c r="F57" s="27">
        <f t="shared" si="0"/>
        <v>4206025</v>
      </c>
      <c r="G57" s="14"/>
      <c r="H57" s="19">
        <v>2082806.92</v>
      </c>
      <c r="J57" s="27">
        <f t="shared" si="1"/>
        <v>37837642.079999998</v>
      </c>
      <c r="K57" s="35">
        <v>2.5000000000000001E-2</v>
      </c>
      <c r="L57" s="27">
        <f t="shared" si="2"/>
        <v>945941.05200000003</v>
      </c>
      <c r="M57" s="6">
        <v>31271</v>
      </c>
      <c r="N57" s="43">
        <f t="shared" si="3"/>
        <v>264863.49455999996</v>
      </c>
      <c r="O57" s="43">
        <f t="shared" si="4"/>
        <v>1210804.5465599999</v>
      </c>
    </row>
    <row r="58" spans="1:16" x14ac:dyDescent="0.25">
      <c r="A58" s="7" t="s">
        <v>1013</v>
      </c>
      <c r="B58" s="7" t="s">
        <v>1014</v>
      </c>
      <c r="C58" s="8">
        <v>44093907</v>
      </c>
      <c r="D58" s="9">
        <v>1625243</v>
      </c>
      <c r="F58" s="27">
        <f t="shared" si="0"/>
        <v>1625243</v>
      </c>
      <c r="G58" s="14"/>
      <c r="H58" s="19">
        <v>327689.40999999997</v>
      </c>
      <c r="J58" s="27">
        <f t="shared" si="1"/>
        <v>42140974.590000004</v>
      </c>
      <c r="K58" s="35">
        <v>2.5000000000000001E-2</v>
      </c>
      <c r="L58" s="27">
        <f t="shared" si="2"/>
        <v>1053524.3647500002</v>
      </c>
      <c r="M58" s="6">
        <v>31270</v>
      </c>
      <c r="N58" s="43">
        <f t="shared" si="3"/>
        <v>294986.82212999999</v>
      </c>
      <c r="O58" s="43">
        <f t="shared" si="4"/>
        <v>1348511.1868800002</v>
      </c>
    </row>
    <row r="59" spans="1:16" x14ac:dyDescent="0.25">
      <c r="A59" s="7" t="s">
        <v>359</v>
      </c>
      <c r="B59" s="7" t="s">
        <v>360</v>
      </c>
      <c r="C59" s="8">
        <v>43732419.799999997</v>
      </c>
      <c r="D59" s="9">
        <v>2718287</v>
      </c>
      <c r="E59" s="14">
        <v>740077</v>
      </c>
      <c r="F59" s="27">
        <f t="shared" si="0"/>
        <v>1978210</v>
      </c>
      <c r="G59" s="14"/>
      <c r="H59" s="19">
        <v>1582864.73</v>
      </c>
      <c r="I59" s="19">
        <v>8302500</v>
      </c>
      <c r="J59" s="27">
        <f t="shared" si="1"/>
        <v>31868845.07</v>
      </c>
      <c r="K59" s="35">
        <v>2.5000000000000001E-2</v>
      </c>
      <c r="L59" s="27">
        <f t="shared" si="2"/>
        <v>796721.12675000005</v>
      </c>
      <c r="M59" s="6">
        <v>31269</v>
      </c>
      <c r="N59" s="43">
        <f t="shared" si="3"/>
        <v>223081.91548999998</v>
      </c>
      <c r="O59" s="43">
        <f t="shared" si="4"/>
        <v>1019803.0422400001</v>
      </c>
      <c r="P59" s="6" t="s">
        <v>1044</v>
      </c>
    </row>
    <row r="60" spans="1:16" x14ac:dyDescent="0.25">
      <c r="A60" s="7" t="s">
        <v>549</v>
      </c>
      <c r="B60" s="7" t="s">
        <v>550</v>
      </c>
      <c r="C60" s="8">
        <v>42836991</v>
      </c>
      <c r="D60" s="9">
        <v>4248968</v>
      </c>
      <c r="E60" s="14">
        <v>2913315</v>
      </c>
      <c r="F60" s="27">
        <f t="shared" si="0"/>
        <v>1335653</v>
      </c>
      <c r="G60" s="14"/>
      <c r="J60" s="27">
        <f t="shared" si="1"/>
        <v>41501338</v>
      </c>
      <c r="K60" s="35">
        <v>2.5000000000000001E-2</v>
      </c>
      <c r="L60" s="27">
        <f t="shared" si="2"/>
        <v>1037533.4500000001</v>
      </c>
      <c r="M60" s="6">
        <v>31268</v>
      </c>
      <c r="N60" s="43">
        <f t="shared" si="3"/>
        <v>290509.36599999998</v>
      </c>
      <c r="O60" s="43">
        <f t="shared" si="4"/>
        <v>1328042.8160000001</v>
      </c>
    </row>
    <row r="61" spans="1:16" x14ac:dyDescent="0.25">
      <c r="A61" s="7" t="s">
        <v>459</v>
      </c>
      <c r="B61" s="7" t="s">
        <v>460</v>
      </c>
      <c r="C61" s="8">
        <v>42499763</v>
      </c>
      <c r="D61" s="9">
        <v>390910</v>
      </c>
      <c r="E61" s="14">
        <v>390910</v>
      </c>
      <c r="F61" s="27">
        <f t="shared" si="0"/>
        <v>0</v>
      </c>
      <c r="G61" s="14"/>
      <c r="H61" s="19">
        <v>1480671.22</v>
      </c>
      <c r="J61" s="27">
        <f t="shared" si="1"/>
        <v>41019091.780000001</v>
      </c>
      <c r="K61" s="35">
        <v>2.5000000000000001E-2</v>
      </c>
      <c r="L61" s="27">
        <f t="shared" si="2"/>
        <v>1025477.2945000001</v>
      </c>
      <c r="M61" s="6">
        <v>31278</v>
      </c>
      <c r="N61" s="43">
        <f t="shared" si="3"/>
        <v>287133.64246</v>
      </c>
      <c r="O61" s="43">
        <f t="shared" si="4"/>
        <v>1312610.9369600001</v>
      </c>
    </row>
    <row r="62" spans="1:16" x14ac:dyDescent="0.25">
      <c r="A62" s="7" t="s">
        <v>769</v>
      </c>
      <c r="B62" s="7" t="s">
        <v>770</v>
      </c>
      <c r="C62" s="8">
        <v>42068725</v>
      </c>
      <c r="D62" s="9">
        <v>1704011</v>
      </c>
      <c r="E62" s="14">
        <v>608641</v>
      </c>
      <c r="F62" s="27">
        <f t="shared" si="0"/>
        <v>1095370</v>
      </c>
      <c r="G62" s="14"/>
      <c r="H62" s="19">
        <v>2030567.26</v>
      </c>
      <c r="J62" s="27">
        <f t="shared" si="1"/>
        <v>38942787.740000002</v>
      </c>
      <c r="K62" s="35">
        <v>2.5000000000000001E-2</v>
      </c>
      <c r="L62" s="27">
        <f t="shared" si="2"/>
        <v>973569.69350000005</v>
      </c>
      <c r="M62" s="6">
        <v>31279</v>
      </c>
      <c r="N62" s="43">
        <f t="shared" si="3"/>
        <v>272599.51418</v>
      </c>
      <c r="O62" s="43">
        <f t="shared" si="4"/>
        <v>1246169.20768</v>
      </c>
    </row>
    <row r="63" spans="1:16" x14ac:dyDescent="0.25">
      <c r="A63" s="7" t="s">
        <v>533</v>
      </c>
      <c r="B63" s="7" t="s">
        <v>534</v>
      </c>
      <c r="C63" s="8">
        <v>40528930</v>
      </c>
      <c r="D63" s="9">
        <v>1349002</v>
      </c>
      <c r="E63" s="14">
        <v>138980</v>
      </c>
      <c r="F63" s="27">
        <f t="shared" si="0"/>
        <v>1210022</v>
      </c>
      <c r="G63" s="14"/>
      <c r="J63" s="27">
        <f t="shared" si="1"/>
        <v>39318908</v>
      </c>
      <c r="K63" s="35">
        <v>2.5000000000000001E-2</v>
      </c>
      <c r="L63" s="27">
        <f t="shared" si="2"/>
        <v>982972.70000000007</v>
      </c>
      <c r="M63" s="6">
        <v>31280</v>
      </c>
      <c r="N63" s="43">
        <f t="shared" si="3"/>
        <v>275232.35599999997</v>
      </c>
      <c r="O63" s="43">
        <f t="shared" si="4"/>
        <v>1258205.0560000001</v>
      </c>
    </row>
    <row r="64" spans="1:16" x14ac:dyDescent="0.25">
      <c r="A64" s="7" t="s">
        <v>417</v>
      </c>
      <c r="B64" s="7" t="s">
        <v>418</v>
      </c>
      <c r="C64" s="8">
        <v>40006214</v>
      </c>
      <c r="D64" s="9">
        <v>1508530</v>
      </c>
      <c r="F64" s="27">
        <f t="shared" si="0"/>
        <v>1508530</v>
      </c>
      <c r="G64" s="14"/>
      <c r="H64" s="19">
        <v>1975652</v>
      </c>
      <c r="J64" s="27">
        <f t="shared" si="1"/>
        <v>36522032</v>
      </c>
      <c r="K64" s="35">
        <v>2.5000000000000001E-2</v>
      </c>
      <c r="L64" s="27">
        <f t="shared" si="2"/>
        <v>913050.8</v>
      </c>
      <c r="M64" s="6">
        <v>31281</v>
      </c>
      <c r="N64" s="43">
        <f t="shared" si="3"/>
        <v>255654.22399999999</v>
      </c>
      <c r="O64" s="43">
        <f t="shared" si="4"/>
        <v>1168705.024</v>
      </c>
    </row>
    <row r="65" spans="1:16" x14ac:dyDescent="0.25">
      <c r="A65" s="7" t="s">
        <v>285</v>
      </c>
      <c r="B65" s="7" t="s">
        <v>286</v>
      </c>
      <c r="C65" s="8">
        <v>39149900</v>
      </c>
      <c r="D65" s="9">
        <v>0</v>
      </c>
      <c r="F65" s="27">
        <f t="shared" si="0"/>
        <v>0</v>
      </c>
      <c r="G65" s="14"/>
      <c r="J65" s="27">
        <f t="shared" si="1"/>
        <v>39149900</v>
      </c>
      <c r="K65" s="35">
        <v>2.5000000000000001E-2</v>
      </c>
      <c r="L65" s="27">
        <f t="shared" si="2"/>
        <v>978747.5</v>
      </c>
      <c r="M65" s="6">
        <v>31282</v>
      </c>
      <c r="N65" s="43">
        <f t="shared" si="3"/>
        <v>274049.3</v>
      </c>
      <c r="O65" s="43">
        <f t="shared" si="4"/>
        <v>1252796.8</v>
      </c>
    </row>
    <row r="66" spans="1:16" s="5" customFormat="1" x14ac:dyDescent="0.25">
      <c r="A66" s="10" t="s">
        <v>367</v>
      </c>
      <c r="B66" s="10" t="s">
        <v>368</v>
      </c>
      <c r="C66" s="11">
        <v>38680039</v>
      </c>
      <c r="D66" s="11">
        <v>760570</v>
      </c>
      <c r="E66" s="15"/>
      <c r="F66" s="27">
        <f t="shared" si="0"/>
        <v>760570</v>
      </c>
      <c r="G66" s="15"/>
      <c r="H66" s="12"/>
      <c r="I66" s="12"/>
      <c r="J66" s="27">
        <f t="shared" si="1"/>
        <v>37919469</v>
      </c>
      <c r="K66" s="35"/>
      <c r="L66" s="27">
        <f t="shared" si="2"/>
        <v>0</v>
      </c>
      <c r="M66" s="12"/>
      <c r="N66" s="43">
        <f t="shared" si="3"/>
        <v>265436.283</v>
      </c>
      <c r="O66" s="43">
        <f t="shared" si="4"/>
        <v>265436.283</v>
      </c>
      <c r="P66" s="12"/>
    </row>
    <row r="67" spans="1:16" x14ac:dyDescent="0.25">
      <c r="A67" s="7" t="s">
        <v>321</v>
      </c>
      <c r="B67" s="7" t="s">
        <v>322</v>
      </c>
      <c r="C67" s="8">
        <v>38310280</v>
      </c>
      <c r="D67" s="9">
        <v>0</v>
      </c>
      <c r="F67" s="27">
        <f t="shared" si="0"/>
        <v>0</v>
      </c>
      <c r="G67" s="14"/>
      <c r="H67" s="19">
        <v>2285688.4</v>
      </c>
      <c r="J67" s="27">
        <f t="shared" si="1"/>
        <v>36024591.600000001</v>
      </c>
      <c r="K67" s="35">
        <v>2.5000000000000001E-2</v>
      </c>
      <c r="L67" s="27">
        <f t="shared" si="2"/>
        <v>900614.79</v>
      </c>
      <c r="M67" s="6">
        <v>31283</v>
      </c>
      <c r="N67" s="43">
        <f t="shared" si="3"/>
        <v>252172.14119999998</v>
      </c>
      <c r="O67" s="43">
        <f t="shared" si="4"/>
        <v>1152786.9312</v>
      </c>
    </row>
    <row r="68" spans="1:16" x14ac:dyDescent="0.25">
      <c r="A68" s="7" t="s">
        <v>565</v>
      </c>
      <c r="B68" s="7" t="s">
        <v>566</v>
      </c>
      <c r="C68" s="8">
        <v>37536554.200000003</v>
      </c>
      <c r="D68" s="9">
        <v>106334</v>
      </c>
      <c r="E68" s="14">
        <v>106334</v>
      </c>
      <c r="F68" s="27">
        <f t="shared" ref="F68:F131" si="5">D68-E68</f>
        <v>0</v>
      </c>
      <c r="G68" s="14"/>
      <c r="H68" s="19">
        <v>1003249.84</v>
      </c>
      <c r="J68" s="27">
        <f t="shared" ref="J68:J131" si="6">C68-F68-G68-H68-I68</f>
        <v>36533304.359999999</v>
      </c>
      <c r="K68" s="35">
        <v>2.5000000000000001E-2</v>
      </c>
      <c r="L68" s="27">
        <f t="shared" ref="L68:L131" si="7">J68*K68</f>
        <v>913332.60900000005</v>
      </c>
      <c r="M68" s="6">
        <v>31284</v>
      </c>
      <c r="N68" s="43">
        <f t="shared" ref="N68:N83" si="8">J68*0.7%</f>
        <v>255733.13051999998</v>
      </c>
      <c r="O68" s="43">
        <f t="shared" ref="O68:O131" si="9">L68+N68</f>
        <v>1169065.7395200001</v>
      </c>
    </row>
    <row r="69" spans="1:16" x14ac:dyDescent="0.25">
      <c r="A69" s="7" t="s">
        <v>901</v>
      </c>
      <c r="B69" s="7" t="s">
        <v>902</v>
      </c>
      <c r="C69" s="8">
        <v>37299209</v>
      </c>
      <c r="D69" s="9">
        <v>166555</v>
      </c>
      <c r="F69" s="27">
        <f t="shared" si="5"/>
        <v>166555</v>
      </c>
      <c r="G69" s="17">
        <v>117000</v>
      </c>
      <c r="H69" s="19">
        <v>1815631.59</v>
      </c>
      <c r="J69" s="27">
        <f t="shared" si="6"/>
        <v>35200022.409999996</v>
      </c>
      <c r="K69" s="35">
        <v>2.5000000000000001E-2</v>
      </c>
      <c r="L69" s="27">
        <f t="shared" si="7"/>
        <v>880000.56024999998</v>
      </c>
      <c r="M69" s="6">
        <v>31285</v>
      </c>
      <c r="N69" s="43">
        <f t="shared" si="8"/>
        <v>246400.15686999995</v>
      </c>
      <c r="O69" s="43">
        <f t="shared" si="9"/>
        <v>1126400.7171199999</v>
      </c>
    </row>
    <row r="70" spans="1:16" x14ac:dyDescent="0.25">
      <c r="A70" s="7" t="s">
        <v>541</v>
      </c>
      <c r="B70" s="7" t="s">
        <v>542</v>
      </c>
      <c r="C70" s="8">
        <v>36658991</v>
      </c>
      <c r="D70" s="9">
        <v>331672</v>
      </c>
      <c r="E70" s="14">
        <v>254876</v>
      </c>
      <c r="F70" s="27">
        <f t="shared" si="5"/>
        <v>76796</v>
      </c>
      <c r="G70" s="14"/>
      <c r="H70" s="19">
        <v>1911233.11</v>
      </c>
      <c r="J70" s="27">
        <f t="shared" si="6"/>
        <v>34670961.890000001</v>
      </c>
      <c r="K70" s="35">
        <v>2.5000000000000001E-2</v>
      </c>
      <c r="L70" s="27">
        <f t="shared" si="7"/>
        <v>866774.04725000006</v>
      </c>
      <c r="M70" s="6">
        <v>31286</v>
      </c>
      <c r="N70" s="43">
        <f t="shared" si="8"/>
        <v>242696.73322999998</v>
      </c>
      <c r="O70" s="43">
        <f t="shared" si="9"/>
        <v>1109470.78048</v>
      </c>
    </row>
    <row r="71" spans="1:16" x14ac:dyDescent="0.25">
      <c r="A71" s="7" t="s">
        <v>931</v>
      </c>
      <c r="B71" s="7" t="s">
        <v>932</v>
      </c>
      <c r="C71" s="8">
        <v>35143890</v>
      </c>
      <c r="D71" s="9">
        <v>136219</v>
      </c>
      <c r="E71" s="14">
        <v>136219</v>
      </c>
      <c r="F71" s="27">
        <f t="shared" si="5"/>
        <v>0</v>
      </c>
      <c r="G71" s="14"/>
      <c r="H71" s="19">
        <v>653913</v>
      </c>
      <c r="J71" s="27">
        <f t="shared" si="6"/>
        <v>34489977</v>
      </c>
      <c r="K71" s="35">
        <v>2.5000000000000001E-2</v>
      </c>
      <c r="L71" s="27">
        <f t="shared" si="7"/>
        <v>862249.42500000005</v>
      </c>
      <c r="M71" s="6">
        <v>31287</v>
      </c>
      <c r="N71" s="43">
        <f t="shared" si="8"/>
        <v>241429.83899999998</v>
      </c>
      <c r="O71" s="43">
        <f t="shared" si="9"/>
        <v>1103679.264</v>
      </c>
    </row>
    <row r="72" spans="1:16" x14ac:dyDescent="0.25">
      <c r="A72" s="7" t="s">
        <v>771</v>
      </c>
      <c r="B72" s="7" t="s">
        <v>772</v>
      </c>
      <c r="C72" s="8">
        <v>34507318</v>
      </c>
      <c r="D72" s="9">
        <v>2517030</v>
      </c>
      <c r="E72" s="14">
        <v>319712</v>
      </c>
      <c r="F72" s="27">
        <f t="shared" si="5"/>
        <v>2197318</v>
      </c>
      <c r="G72" s="14"/>
      <c r="J72" s="27">
        <f t="shared" si="6"/>
        <v>32310000</v>
      </c>
      <c r="K72" s="35">
        <v>2.5000000000000001E-2</v>
      </c>
      <c r="L72" s="27">
        <f t="shared" si="7"/>
        <v>807750</v>
      </c>
      <c r="M72" s="6">
        <v>31288</v>
      </c>
      <c r="N72" s="43">
        <f t="shared" si="8"/>
        <v>226169.99999999997</v>
      </c>
      <c r="O72" s="43">
        <f t="shared" si="9"/>
        <v>1033920</v>
      </c>
    </row>
    <row r="73" spans="1:16" x14ac:dyDescent="0.25">
      <c r="A73" s="7" t="s">
        <v>131</v>
      </c>
      <c r="B73" s="7" t="s">
        <v>132</v>
      </c>
      <c r="C73" s="8">
        <v>32181842</v>
      </c>
      <c r="D73" s="9">
        <v>0</v>
      </c>
      <c r="F73" s="27">
        <f t="shared" si="5"/>
        <v>0</v>
      </c>
      <c r="G73" s="17">
        <v>216700</v>
      </c>
      <c r="H73" s="19">
        <v>1543486.92</v>
      </c>
      <c r="J73" s="27">
        <f t="shared" si="6"/>
        <v>30421655.079999998</v>
      </c>
      <c r="K73" s="35">
        <v>2.5000000000000001E-2</v>
      </c>
      <c r="L73" s="27">
        <f t="shared" si="7"/>
        <v>760541.37699999998</v>
      </c>
      <c r="M73" s="6">
        <v>31289</v>
      </c>
      <c r="N73" s="43">
        <f t="shared" si="8"/>
        <v>212951.58555999998</v>
      </c>
      <c r="O73" s="43">
        <f t="shared" si="9"/>
        <v>973492.9625599999</v>
      </c>
    </row>
    <row r="74" spans="1:16" x14ac:dyDescent="0.25">
      <c r="A74" s="7" t="s">
        <v>927</v>
      </c>
      <c r="B74" s="7" t="s">
        <v>928</v>
      </c>
      <c r="C74" s="8">
        <v>32031018</v>
      </c>
      <c r="D74" s="9">
        <v>2211042</v>
      </c>
      <c r="E74" s="14">
        <v>843199</v>
      </c>
      <c r="F74" s="27">
        <f t="shared" si="5"/>
        <v>1367843</v>
      </c>
      <c r="G74" s="14"/>
      <c r="H74" s="19">
        <v>2046326.52</v>
      </c>
      <c r="J74" s="27">
        <f t="shared" si="6"/>
        <v>28616848.48</v>
      </c>
      <c r="K74" s="34">
        <v>0.02</v>
      </c>
      <c r="L74" s="27">
        <f t="shared" si="7"/>
        <v>572336.96960000007</v>
      </c>
      <c r="M74" s="6">
        <v>31290</v>
      </c>
      <c r="N74" s="43">
        <f t="shared" si="8"/>
        <v>200317.93935999999</v>
      </c>
      <c r="O74" s="43">
        <f t="shared" si="9"/>
        <v>772654.90896000003</v>
      </c>
    </row>
    <row r="75" spans="1:16" x14ac:dyDescent="0.25">
      <c r="A75" s="7" t="s">
        <v>715</v>
      </c>
      <c r="B75" s="7" t="s">
        <v>716</v>
      </c>
      <c r="C75" s="8">
        <v>31959279</v>
      </c>
      <c r="D75" s="9">
        <v>332987</v>
      </c>
      <c r="E75" s="14">
        <v>332987</v>
      </c>
      <c r="F75" s="27">
        <f t="shared" si="5"/>
        <v>0</v>
      </c>
      <c r="G75" s="17">
        <v>46600</v>
      </c>
      <c r="H75" s="19">
        <v>1564465</v>
      </c>
      <c r="J75" s="27">
        <f t="shared" si="6"/>
        <v>30348214</v>
      </c>
      <c r="K75" s="35">
        <v>2.5000000000000001E-2</v>
      </c>
      <c r="L75" s="27">
        <f t="shared" si="7"/>
        <v>758705.35000000009</v>
      </c>
      <c r="M75" s="6">
        <v>31291</v>
      </c>
      <c r="N75" s="43">
        <f t="shared" si="8"/>
        <v>212437.49799999999</v>
      </c>
      <c r="O75" s="43">
        <f t="shared" si="9"/>
        <v>971142.84800000011</v>
      </c>
    </row>
    <row r="76" spans="1:16" x14ac:dyDescent="0.25">
      <c r="A76" s="7" t="s">
        <v>219</v>
      </c>
      <c r="B76" s="7" t="s">
        <v>220</v>
      </c>
      <c r="C76" s="8">
        <v>30407556</v>
      </c>
      <c r="D76" s="9">
        <v>2201557</v>
      </c>
      <c r="E76" s="14">
        <v>767869</v>
      </c>
      <c r="F76" s="27">
        <f t="shared" si="5"/>
        <v>1433688</v>
      </c>
      <c r="G76" s="17">
        <v>462993</v>
      </c>
      <c r="J76" s="27">
        <f t="shared" si="6"/>
        <v>28510875</v>
      </c>
      <c r="K76" s="34">
        <v>0.02</v>
      </c>
      <c r="L76" s="27">
        <f t="shared" si="7"/>
        <v>570217.5</v>
      </c>
      <c r="M76" s="6">
        <v>31292</v>
      </c>
      <c r="N76" s="43">
        <f t="shared" si="8"/>
        <v>199576.12499999997</v>
      </c>
      <c r="O76" s="43">
        <f t="shared" si="9"/>
        <v>769793.625</v>
      </c>
    </row>
    <row r="77" spans="1:16" x14ac:dyDescent="0.25">
      <c r="A77" s="7" t="s">
        <v>409</v>
      </c>
      <c r="B77" s="7" t="s">
        <v>410</v>
      </c>
      <c r="C77" s="8">
        <v>30393126</v>
      </c>
      <c r="D77" s="9">
        <v>761840</v>
      </c>
      <c r="F77" s="27">
        <f t="shared" si="5"/>
        <v>761840</v>
      </c>
      <c r="G77" s="17">
        <v>871362</v>
      </c>
      <c r="J77" s="27">
        <f t="shared" si="6"/>
        <v>28759924</v>
      </c>
      <c r="K77" s="34">
        <v>0.02</v>
      </c>
      <c r="L77" s="27">
        <f t="shared" si="7"/>
        <v>575198.48</v>
      </c>
      <c r="M77" s="6">
        <v>31293</v>
      </c>
      <c r="N77" s="43">
        <f t="shared" si="8"/>
        <v>201319.46799999999</v>
      </c>
      <c r="O77" s="43">
        <f t="shared" si="9"/>
        <v>776517.94799999997</v>
      </c>
    </row>
    <row r="78" spans="1:16" x14ac:dyDescent="0.25">
      <c r="A78" s="7" t="s">
        <v>903</v>
      </c>
      <c r="B78" s="7" t="s">
        <v>904</v>
      </c>
      <c r="C78" s="8">
        <v>30047956</v>
      </c>
      <c r="D78" s="9">
        <v>0</v>
      </c>
      <c r="F78" s="27">
        <f t="shared" si="5"/>
        <v>0</v>
      </c>
      <c r="G78" s="14"/>
      <c r="J78" s="27">
        <f t="shared" si="6"/>
        <v>30047956</v>
      </c>
      <c r="K78" s="35">
        <v>2.5000000000000001E-2</v>
      </c>
      <c r="L78" s="27">
        <f t="shared" si="7"/>
        <v>751198.9</v>
      </c>
      <c r="M78" s="6">
        <v>31294</v>
      </c>
      <c r="N78" s="43">
        <f t="shared" si="8"/>
        <v>210335.69199999998</v>
      </c>
      <c r="O78" s="43">
        <f t="shared" si="9"/>
        <v>961534.59199999995</v>
      </c>
    </row>
    <row r="79" spans="1:16" x14ac:dyDescent="0.25">
      <c r="A79" s="7" t="s">
        <v>365</v>
      </c>
      <c r="B79" s="7" t="s">
        <v>366</v>
      </c>
      <c r="C79" s="8">
        <v>29876316</v>
      </c>
      <c r="D79" s="9">
        <v>0</v>
      </c>
      <c r="F79" s="27">
        <f t="shared" si="5"/>
        <v>0</v>
      </c>
      <c r="G79" s="14"/>
      <c r="H79" s="19">
        <v>1318490.1000000001</v>
      </c>
      <c r="J79" s="27">
        <f t="shared" si="6"/>
        <v>28557825.899999999</v>
      </c>
      <c r="K79" s="34">
        <v>0.02</v>
      </c>
      <c r="L79" s="27">
        <f t="shared" si="7"/>
        <v>571156.51800000004</v>
      </c>
      <c r="M79" s="6">
        <v>31295</v>
      </c>
      <c r="N79" s="43">
        <f t="shared" si="8"/>
        <v>199904.78129999997</v>
      </c>
      <c r="O79" s="43">
        <f t="shared" si="9"/>
        <v>771061.29930000007</v>
      </c>
    </row>
    <row r="80" spans="1:16" x14ac:dyDescent="0.25">
      <c r="A80" s="7" t="s">
        <v>437</v>
      </c>
      <c r="B80" s="7" t="s">
        <v>438</v>
      </c>
      <c r="C80" s="8">
        <v>29862792</v>
      </c>
      <c r="D80" s="9">
        <v>0</v>
      </c>
      <c r="F80" s="27">
        <f t="shared" si="5"/>
        <v>0</v>
      </c>
      <c r="G80" s="14"/>
      <c r="H80" s="19">
        <v>1868855.95</v>
      </c>
      <c r="J80" s="27">
        <f t="shared" si="6"/>
        <v>27993936.050000001</v>
      </c>
      <c r="K80" s="34">
        <v>0.02</v>
      </c>
      <c r="L80" s="27">
        <f t="shared" si="7"/>
        <v>559878.72100000002</v>
      </c>
      <c r="M80" s="6">
        <v>31296</v>
      </c>
      <c r="N80" s="43">
        <f t="shared" si="8"/>
        <v>195957.55234999998</v>
      </c>
      <c r="O80" s="43">
        <f t="shared" si="9"/>
        <v>755836.27335000003</v>
      </c>
    </row>
    <row r="81" spans="1:15" x14ac:dyDescent="0.25">
      <c r="A81" s="7" t="s">
        <v>515</v>
      </c>
      <c r="B81" s="7" t="s">
        <v>516</v>
      </c>
      <c r="C81" s="8">
        <v>29813622</v>
      </c>
      <c r="D81" s="9">
        <v>901047</v>
      </c>
      <c r="E81" s="14">
        <v>901047</v>
      </c>
      <c r="F81" s="27">
        <f t="shared" si="5"/>
        <v>0</v>
      </c>
      <c r="G81" s="14"/>
      <c r="J81" s="27">
        <f t="shared" si="6"/>
        <v>29813622</v>
      </c>
      <c r="K81" s="34">
        <v>0.02</v>
      </c>
      <c r="L81" s="27">
        <f t="shared" si="7"/>
        <v>596272.44000000006</v>
      </c>
      <c r="M81" s="6">
        <v>31297</v>
      </c>
      <c r="N81" s="43">
        <f t="shared" si="8"/>
        <v>208695.35399999999</v>
      </c>
      <c r="O81" s="43">
        <f t="shared" si="9"/>
        <v>804967.79399999999</v>
      </c>
    </row>
    <row r="82" spans="1:15" x14ac:dyDescent="0.25">
      <c r="A82" s="7" t="s">
        <v>967</v>
      </c>
      <c r="B82" s="7" t="s">
        <v>968</v>
      </c>
      <c r="C82" s="8">
        <v>29742250</v>
      </c>
      <c r="D82" s="9">
        <v>230317</v>
      </c>
      <c r="E82" s="14">
        <v>230317</v>
      </c>
      <c r="F82" s="27">
        <f t="shared" si="5"/>
        <v>0</v>
      </c>
      <c r="G82" s="17">
        <v>187816</v>
      </c>
      <c r="J82" s="27">
        <f t="shared" si="6"/>
        <v>29554434</v>
      </c>
      <c r="K82" s="34">
        <v>0.02</v>
      </c>
      <c r="L82" s="27">
        <f t="shared" si="7"/>
        <v>591088.68000000005</v>
      </c>
      <c r="M82" s="6">
        <v>31298</v>
      </c>
      <c r="N82" s="43">
        <f t="shared" si="8"/>
        <v>206881.03799999997</v>
      </c>
      <c r="O82" s="43">
        <f t="shared" si="9"/>
        <v>797969.71799999999</v>
      </c>
    </row>
    <row r="83" spans="1:15" x14ac:dyDescent="0.25">
      <c r="A83" s="7" t="s">
        <v>479</v>
      </c>
      <c r="B83" s="7" t="s">
        <v>480</v>
      </c>
      <c r="C83" s="8">
        <v>29615802</v>
      </c>
      <c r="D83" s="9">
        <v>0</v>
      </c>
      <c r="F83" s="27">
        <f t="shared" si="5"/>
        <v>0</v>
      </c>
      <c r="G83" s="14"/>
      <c r="H83" s="19">
        <v>8699.85</v>
      </c>
      <c r="J83" s="27">
        <f t="shared" si="6"/>
        <v>29607102.149999999</v>
      </c>
      <c r="K83" s="34">
        <v>0.02</v>
      </c>
      <c r="L83" s="27">
        <f t="shared" si="7"/>
        <v>592142.04299999995</v>
      </c>
      <c r="M83" s="6">
        <v>31299</v>
      </c>
      <c r="N83" s="43">
        <f t="shared" si="8"/>
        <v>207249.71504999997</v>
      </c>
      <c r="O83" s="43">
        <f t="shared" si="9"/>
        <v>799391.75804999995</v>
      </c>
    </row>
    <row r="84" spans="1:15" x14ac:dyDescent="0.25">
      <c r="A84" s="7" t="s">
        <v>731</v>
      </c>
      <c r="B84" s="7" t="s">
        <v>732</v>
      </c>
      <c r="C84" s="8">
        <v>27034949</v>
      </c>
      <c r="D84" s="9">
        <v>1569147</v>
      </c>
      <c r="F84" s="27">
        <f t="shared" si="5"/>
        <v>1569147</v>
      </c>
      <c r="G84" s="17">
        <v>97000</v>
      </c>
      <c r="H84" s="19">
        <v>1211686.68</v>
      </c>
      <c r="J84" s="27">
        <f t="shared" si="6"/>
        <v>24157115.32</v>
      </c>
      <c r="K84" s="34">
        <v>0.02</v>
      </c>
      <c r="L84" s="27">
        <f t="shared" si="7"/>
        <v>483142.3064</v>
      </c>
      <c r="M84" s="6">
        <v>31300</v>
      </c>
      <c r="N84" s="43">
        <v>100000</v>
      </c>
      <c r="O84" s="43">
        <f t="shared" si="9"/>
        <v>583142.3064</v>
      </c>
    </row>
    <row r="85" spans="1:15" x14ac:dyDescent="0.25">
      <c r="A85" s="7" t="s">
        <v>869</v>
      </c>
      <c r="B85" s="7" t="s">
        <v>870</v>
      </c>
      <c r="C85" s="8">
        <v>26822767</v>
      </c>
      <c r="D85" s="9">
        <v>851400</v>
      </c>
      <c r="E85" s="14">
        <v>851400</v>
      </c>
      <c r="F85" s="27">
        <f t="shared" si="5"/>
        <v>0</v>
      </c>
      <c r="G85" s="17">
        <v>634810</v>
      </c>
      <c r="J85" s="27">
        <f t="shared" si="6"/>
        <v>26187957</v>
      </c>
      <c r="K85" s="34">
        <v>0.02</v>
      </c>
      <c r="L85" s="27">
        <f t="shared" si="7"/>
        <v>523759.14</v>
      </c>
      <c r="M85" s="6">
        <v>31301</v>
      </c>
      <c r="N85" s="43">
        <f>J85*0.7%</f>
        <v>183315.69899999999</v>
      </c>
      <c r="O85" s="43">
        <f t="shared" si="9"/>
        <v>707074.83900000004</v>
      </c>
    </row>
    <row r="86" spans="1:15" x14ac:dyDescent="0.25">
      <c r="A86" s="7" t="s">
        <v>275</v>
      </c>
      <c r="B86" s="7" t="s">
        <v>276</v>
      </c>
      <c r="C86" s="8">
        <v>26792036</v>
      </c>
      <c r="D86" s="9">
        <v>266541</v>
      </c>
      <c r="E86" s="14">
        <v>266541</v>
      </c>
      <c r="F86" s="27">
        <f t="shared" si="5"/>
        <v>0</v>
      </c>
      <c r="G86" s="14"/>
      <c r="J86" s="27">
        <f t="shared" si="6"/>
        <v>26792036</v>
      </c>
      <c r="K86" s="34">
        <v>0.02</v>
      </c>
      <c r="L86" s="27">
        <f t="shared" si="7"/>
        <v>535840.72</v>
      </c>
      <c r="M86" s="6">
        <v>31302</v>
      </c>
      <c r="N86" s="43">
        <f>J86*0.7%</f>
        <v>187544.25199999998</v>
      </c>
      <c r="O86" s="43">
        <f t="shared" si="9"/>
        <v>723384.97199999995</v>
      </c>
    </row>
    <row r="87" spans="1:15" x14ac:dyDescent="0.25">
      <c r="A87" s="7" t="s">
        <v>705</v>
      </c>
      <c r="B87" s="7" t="s">
        <v>706</v>
      </c>
      <c r="C87" s="8">
        <v>25820088</v>
      </c>
      <c r="D87" s="9">
        <v>2063239</v>
      </c>
      <c r="E87" s="14">
        <v>439234</v>
      </c>
      <c r="F87" s="27">
        <f t="shared" si="5"/>
        <v>1624005</v>
      </c>
      <c r="G87" s="14"/>
      <c r="J87" s="27">
        <f t="shared" si="6"/>
        <v>24196083</v>
      </c>
      <c r="K87" s="34">
        <v>0.02</v>
      </c>
      <c r="L87" s="27">
        <f t="shared" si="7"/>
        <v>483921.66000000003</v>
      </c>
      <c r="M87" s="6">
        <v>31303</v>
      </c>
      <c r="N87" s="43">
        <v>100000</v>
      </c>
      <c r="O87" s="43">
        <f t="shared" si="9"/>
        <v>583921.66</v>
      </c>
    </row>
    <row r="88" spans="1:15" x14ac:dyDescent="0.25">
      <c r="A88" s="7" t="s">
        <v>913</v>
      </c>
      <c r="B88" s="7" t="s">
        <v>914</v>
      </c>
      <c r="C88" s="8">
        <v>25581724</v>
      </c>
      <c r="D88" s="9">
        <v>533238</v>
      </c>
      <c r="E88" s="14">
        <v>361645</v>
      </c>
      <c r="F88" s="27">
        <f t="shared" si="5"/>
        <v>171593</v>
      </c>
      <c r="G88" s="14"/>
      <c r="H88" s="19">
        <v>1244615.1100000001</v>
      </c>
      <c r="J88" s="27">
        <f t="shared" si="6"/>
        <v>24165515.890000001</v>
      </c>
      <c r="K88" s="34">
        <v>0.02</v>
      </c>
      <c r="L88" s="27">
        <f t="shared" si="7"/>
        <v>483310.31780000002</v>
      </c>
      <c r="M88" s="6">
        <v>31304</v>
      </c>
      <c r="N88" s="43">
        <v>100000</v>
      </c>
      <c r="O88" s="43">
        <f t="shared" si="9"/>
        <v>583310.31780000008</v>
      </c>
    </row>
    <row r="89" spans="1:15" x14ac:dyDescent="0.25">
      <c r="A89" s="7" t="s">
        <v>543</v>
      </c>
      <c r="B89" s="7" t="s">
        <v>544</v>
      </c>
      <c r="C89" s="8">
        <v>25350762</v>
      </c>
      <c r="D89" s="9">
        <v>254926</v>
      </c>
      <c r="E89" s="14">
        <v>254926</v>
      </c>
      <c r="F89" s="27">
        <f t="shared" si="5"/>
        <v>0</v>
      </c>
      <c r="G89" s="14"/>
      <c r="J89" s="27">
        <f t="shared" si="6"/>
        <v>25350762</v>
      </c>
      <c r="K89" s="34">
        <v>0.02</v>
      </c>
      <c r="L89" s="27">
        <f t="shared" si="7"/>
        <v>507015.24</v>
      </c>
      <c r="M89" s="6">
        <v>31305</v>
      </c>
      <c r="N89" s="43">
        <f>J89*0.7%</f>
        <v>177455.33399999997</v>
      </c>
      <c r="O89" s="43">
        <f t="shared" si="9"/>
        <v>684470.57400000002</v>
      </c>
    </row>
    <row r="90" spans="1:15" x14ac:dyDescent="0.25">
      <c r="A90" s="7" t="s">
        <v>203</v>
      </c>
      <c r="B90" s="7" t="s">
        <v>204</v>
      </c>
      <c r="C90" s="8">
        <v>25345747</v>
      </c>
      <c r="D90" s="9">
        <v>0</v>
      </c>
      <c r="F90" s="27">
        <f t="shared" si="5"/>
        <v>0</v>
      </c>
      <c r="G90" s="14"/>
      <c r="H90" s="19">
        <v>1520422.79</v>
      </c>
      <c r="J90" s="27">
        <f t="shared" si="6"/>
        <v>23825324.210000001</v>
      </c>
      <c r="K90" s="34">
        <v>0.02</v>
      </c>
      <c r="L90" s="27">
        <f t="shared" si="7"/>
        <v>476506.48420000001</v>
      </c>
      <c r="M90" s="6">
        <v>31306</v>
      </c>
      <c r="N90" s="43">
        <v>100000</v>
      </c>
      <c r="O90" s="43">
        <f t="shared" si="9"/>
        <v>576506.48420000006</v>
      </c>
    </row>
    <row r="91" spans="1:15" x14ac:dyDescent="0.25">
      <c r="A91" s="7" t="s">
        <v>357</v>
      </c>
      <c r="B91" s="7" t="s">
        <v>358</v>
      </c>
      <c r="C91" s="8">
        <v>25340795</v>
      </c>
      <c r="D91" s="9">
        <v>1046459</v>
      </c>
      <c r="E91" s="14">
        <v>310494</v>
      </c>
      <c r="F91" s="27">
        <f t="shared" si="5"/>
        <v>735965</v>
      </c>
      <c r="G91" s="17">
        <v>93415</v>
      </c>
      <c r="H91" s="19">
        <v>1192187.8500000001</v>
      </c>
      <c r="J91" s="27">
        <f t="shared" si="6"/>
        <v>23319227.149999999</v>
      </c>
      <c r="K91" s="34">
        <v>0.02</v>
      </c>
      <c r="L91" s="27">
        <f t="shared" si="7"/>
        <v>466384.54300000001</v>
      </c>
      <c r="M91" s="6">
        <v>31307</v>
      </c>
      <c r="N91" s="43">
        <v>100000</v>
      </c>
      <c r="O91" s="43">
        <f t="shared" si="9"/>
        <v>566384.54300000006</v>
      </c>
    </row>
    <row r="92" spans="1:15" x14ac:dyDescent="0.25">
      <c r="A92" s="7" t="s">
        <v>1009</v>
      </c>
      <c r="B92" s="7" t="s">
        <v>1010</v>
      </c>
      <c r="C92" s="8">
        <v>24614406</v>
      </c>
      <c r="D92" s="9">
        <v>0</v>
      </c>
      <c r="F92" s="27">
        <f t="shared" si="5"/>
        <v>0</v>
      </c>
      <c r="G92" s="14"/>
      <c r="J92" s="27">
        <f t="shared" si="6"/>
        <v>24614406</v>
      </c>
      <c r="K92" s="34">
        <v>0.02</v>
      </c>
      <c r="L92" s="27">
        <f t="shared" si="7"/>
        <v>492288.12</v>
      </c>
      <c r="M92" s="6">
        <v>31308</v>
      </c>
      <c r="N92" s="43">
        <v>100000</v>
      </c>
      <c r="O92" s="43">
        <f t="shared" si="9"/>
        <v>592288.12</v>
      </c>
    </row>
    <row r="93" spans="1:15" x14ac:dyDescent="0.25">
      <c r="A93" s="7" t="s">
        <v>687</v>
      </c>
      <c r="B93" s="7" t="s">
        <v>688</v>
      </c>
      <c r="C93" s="8">
        <v>24536500</v>
      </c>
      <c r="D93" s="9">
        <v>0</v>
      </c>
      <c r="F93" s="27">
        <f t="shared" si="5"/>
        <v>0</v>
      </c>
      <c r="G93" s="14"/>
      <c r="H93" s="19">
        <v>1429710</v>
      </c>
      <c r="J93" s="27">
        <f t="shared" si="6"/>
        <v>23106790</v>
      </c>
      <c r="K93" s="34">
        <v>0.02</v>
      </c>
      <c r="L93" s="27">
        <f t="shared" si="7"/>
        <v>462135.8</v>
      </c>
      <c r="M93" s="6">
        <v>31309</v>
      </c>
      <c r="N93" s="43">
        <v>100000</v>
      </c>
      <c r="O93" s="43">
        <f t="shared" si="9"/>
        <v>562135.80000000005</v>
      </c>
    </row>
    <row r="94" spans="1:15" x14ac:dyDescent="0.25">
      <c r="A94" s="7" t="s">
        <v>327</v>
      </c>
      <c r="B94" s="7" t="s">
        <v>328</v>
      </c>
      <c r="C94" s="8">
        <v>24371131</v>
      </c>
      <c r="D94" s="9">
        <v>3650699</v>
      </c>
      <c r="E94" s="14">
        <v>956541</v>
      </c>
      <c r="F94" s="27">
        <f t="shared" si="5"/>
        <v>2694158</v>
      </c>
      <c r="G94" s="14"/>
      <c r="H94" s="19">
        <v>769233</v>
      </c>
      <c r="J94" s="27">
        <f t="shared" si="6"/>
        <v>20907740</v>
      </c>
      <c r="K94" s="34">
        <v>0.02</v>
      </c>
      <c r="L94" s="27">
        <f t="shared" si="7"/>
        <v>418154.8</v>
      </c>
      <c r="M94" s="6">
        <v>31310</v>
      </c>
      <c r="N94" s="43">
        <v>100000</v>
      </c>
      <c r="O94" s="43">
        <f t="shared" si="9"/>
        <v>518154.8</v>
      </c>
    </row>
    <row r="95" spans="1:15" x14ac:dyDescent="0.25">
      <c r="A95" s="7" t="s">
        <v>837</v>
      </c>
      <c r="B95" s="7" t="s">
        <v>838</v>
      </c>
      <c r="C95" s="8">
        <v>23810772</v>
      </c>
      <c r="D95" s="9">
        <v>4785020</v>
      </c>
      <c r="E95" s="14">
        <v>321195</v>
      </c>
      <c r="F95" s="27">
        <f t="shared" si="5"/>
        <v>4463825</v>
      </c>
      <c r="G95" s="17">
        <v>182932</v>
      </c>
      <c r="J95" s="27">
        <f t="shared" si="6"/>
        <v>19164015</v>
      </c>
      <c r="K95" s="34">
        <v>0.02</v>
      </c>
      <c r="L95" s="27">
        <f t="shared" si="7"/>
        <v>383280.3</v>
      </c>
      <c r="M95" s="6">
        <v>31311</v>
      </c>
      <c r="N95" s="43">
        <v>100000</v>
      </c>
      <c r="O95" s="43">
        <f t="shared" si="9"/>
        <v>483280.3</v>
      </c>
    </row>
    <row r="96" spans="1:15" x14ac:dyDescent="0.25">
      <c r="A96" s="7" t="s">
        <v>849</v>
      </c>
      <c r="B96" s="7" t="s">
        <v>850</v>
      </c>
      <c r="C96" s="8">
        <v>23808429</v>
      </c>
      <c r="D96" s="9">
        <v>0</v>
      </c>
      <c r="F96" s="27">
        <f t="shared" si="5"/>
        <v>0</v>
      </c>
      <c r="G96" s="14"/>
      <c r="H96" s="19">
        <v>1117369.78</v>
      </c>
      <c r="J96" s="27">
        <f t="shared" si="6"/>
        <v>22691059.219999999</v>
      </c>
      <c r="K96" s="34">
        <v>0.02</v>
      </c>
      <c r="L96" s="27">
        <f t="shared" si="7"/>
        <v>453821.18439999997</v>
      </c>
      <c r="M96" s="6">
        <v>31312</v>
      </c>
      <c r="N96" s="43">
        <v>100000</v>
      </c>
      <c r="O96" s="43">
        <f t="shared" si="9"/>
        <v>553821.18439999991</v>
      </c>
    </row>
    <row r="97" spans="1:16" x14ac:dyDescent="0.25">
      <c r="A97" s="7" t="s">
        <v>351</v>
      </c>
      <c r="B97" s="7" t="s">
        <v>352</v>
      </c>
      <c r="C97" s="8">
        <v>22710035</v>
      </c>
      <c r="D97" s="9">
        <v>1812501</v>
      </c>
      <c r="F97" s="27">
        <f t="shared" si="5"/>
        <v>1812501</v>
      </c>
      <c r="G97" s="17">
        <v>573620</v>
      </c>
      <c r="J97" s="27">
        <f t="shared" si="6"/>
        <v>20323914</v>
      </c>
      <c r="K97" s="34">
        <v>0.02</v>
      </c>
      <c r="L97" s="27">
        <f t="shared" si="7"/>
        <v>406478.28</v>
      </c>
      <c r="M97" s="6">
        <v>31313</v>
      </c>
      <c r="N97" s="43">
        <v>100000</v>
      </c>
      <c r="O97" s="43">
        <f t="shared" si="9"/>
        <v>506478.28</v>
      </c>
    </row>
    <row r="98" spans="1:16" x14ac:dyDescent="0.25">
      <c r="A98" s="7" t="s">
        <v>859</v>
      </c>
      <c r="B98" s="7" t="s">
        <v>860</v>
      </c>
      <c r="C98" s="8">
        <v>21549860</v>
      </c>
      <c r="D98" s="9">
        <v>0</v>
      </c>
      <c r="F98" s="27">
        <f t="shared" si="5"/>
        <v>0</v>
      </c>
      <c r="G98" s="17">
        <v>337200</v>
      </c>
      <c r="H98" s="19">
        <v>728147</v>
      </c>
      <c r="J98" s="27">
        <f t="shared" si="6"/>
        <v>20484513</v>
      </c>
      <c r="K98" s="34">
        <v>0.02</v>
      </c>
      <c r="L98" s="27">
        <f t="shared" si="7"/>
        <v>409690.26</v>
      </c>
      <c r="M98" s="6">
        <v>31314</v>
      </c>
      <c r="N98" s="43">
        <v>100000</v>
      </c>
      <c r="O98" s="43">
        <f t="shared" si="9"/>
        <v>509690.26</v>
      </c>
    </row>
    <row r="99" spans="1:16" x14ac:dyDescent="0.25">
      <c r="A99" s="7" t="s">
        <v>491</v>
      </c>
      <c r="B99" s="7" t="s">
        <v>492</v>
      </c>
      <c r="C99" s="8">
        <v>21317360</v>
      </c>
      <c r="D99" s="9">
        <v>132911</v>
      </c>
      <c r="E99" s="14">
        <v>132911</v>
      </c>
      <c r="F99" s="27">
        <f t="shared" si="5"/>
        <v>0</v>
      </c>
      <c r="G99" s="14"/>
      <c r="H99" s="19">
        <v>1185409.3999999999</v>
      </c>
      <c r="J99" s="27">
        <f t="shared" si="6"/>
        <v>20131950.600000001</v>
      </c>
      <c r="K99" s="34">
        <v>0.02</v>
      </c>
      <c r="L99" s="27">
        <f t="shared" si="7"/>
        <v>402639.01200000005</v>
      </c>
      <c r="M99" s="6">
        <v>31315</v>
      </c>
      <c r="N99" s="43">
        <v>100000</v>
      </c>
      <c r="O99" s="43">
        <f t="shared" si="9"/>
        <v>502639.01200000005</v>
      </c>
    </row>
    <row r="100" spans="1:16" x14ac:dyDescent="0.25">
      <c r="A100" s="7" t="s">
        <v>283</v>
      </c>
      <c r="B100" s="7" t="s">
        <v>284</v>
      </c>
      <c r="C100" s="8">
        <v>20815386</v>
      </c>
      <c r="D100" s="9">
        <v>309780</v>
      </c>
      <c r="E100" s="14">
        <v>309780</v>
      </c>
      <c r="F100" s="27">
        <f t="shared" si="5"/>
        <v>0</v>
      </c>
      <c r="G100" s="14"/>
      <c r="H100" s="19">
        <v>2054476.74</v>
      </c>
      <c r="J100" s="27">
        <f t="shared" si="6"/>
        <v>18760909.260000002</v>
      </c>
      <c r="K100" s="34">
        <v>0.02</v>
      </c>
      <c r="L100" s="27">
        <f t="shared" si="7"/>
        <v>375218.18520000007</v>
      </c>
      <c r="M100" s="6">
        <v>31316</v>
      </c>
      <c r="N100" s="43">
        <v>100000</v>
      </c>
      <c r="O100" s="43">
        <f t="shared" si="9"/>
        <v>475218.18520000007</v>
      </c>
    </row>
    <row r="101" spans="1:16" x14ac:dyDescent="0.25">
      <c r="A101" s="7" t="s">
        <v>371</v>
      </c>
      <c r="B101" s="7" t="s">
        <v>372</v>
      </c>
      <c r="C101" s="8">
        <v>20766834</v>
      </c>
      <c r="D101" s="9">
        <v>648314</v>
      </c>
      <c r="F101" s="27">
        <f t="shared" si="5"/>
        <v>648314</v>
      </c>
      <c r="G101" s="17">
        <v>543400</v>
      </c>
      <c r="H101" s="19">
        <v>1005309.94</v>
      </c>
      <c r="J101" s="27">
        <f t="shared" si="6"/>
        <v>18569810.059999999</v>
      </c>
      <c r="K101" s="34">
        <v>0.02</v>
      </c>
      <c r="L101" s="27">
        <f t="shared" si="7"/>
        <v>371396.20119999995</v>
      </c>
      <c r="M101" s="6">
        <v>31317</v>
      </c>
      <c r="N101" s="43">
        <v>100000</v>
      </c>
      <c r="O101" s="43">
        <f t="shared" si="9"/>
        <v>471396.20119999995</v>
      </c>
    </row>
    <row r="102" spans="1:16" x14ac:dyDescent="0.25">
      <c r="A102" s="7" t="s">
        <v>1005</v>
      </c>
      <c r="B102" s="7" t="s">
        <v>1006</v>
      </c>
      <c r="C102" s="8">
        <v>20365721</v>
      </c>
      <c r="D102" s="9">
        <v>0</v>
      </c>
      <c r="F102" s="27">
        <f t="shared" si="5"/>
        <v>0</v>
      </c>
      <c r="G102" s="17">
        <v>158500</v>
      </c>
      <c r="H102" s="19">
        <v>376889.37</v>
      </c>
      <c r="J102" s="27">
        <f t="shared" si="6"/>
        <v>19830331.629999999</v>
      </c>
      <c r="K102" s="34">
        <v>0.02</v>
      </c>
      <c r="L102" s="27">
        <f t="shared" si="7"/>
        <v>396606.63260000001</v>
      </c>
      <c r="M102" s="6">
        <v>31318</v>
      </c>
      <c r="N102" s="43">
        <v>100000</v>
      </c>
      <c r="O102" s="43">
        <f t="shared" si="9"/>
        <v>496606.63260000001</v>
      </c>
    </row>
    <row r="103" spans="1:16" x14ac:dyDescent="0.25">
      <c r="A103" s="7" t="s">
        <v>683</v>
      </c>
      <c r="B103" s="7" t="s">
        <v>684</v>
      </c>
      <c r="C103" s="8">
        <v>19930015</v>
      </c>
      <c r="D103" s="9">
        <v>0</v>
      </c>
      <c r="F103" s="27">
        <f t="shared" si="5"/>
        <v>0</v>
      </c>
      <c r="G103" s="17">
        <v>360430</v>
      </c>
      <c r="J103" s="27">
        <f t="shared" si="6"/>
        <v>19569585</v>
      </c>
      <c r="K103" s="34">
        <v>0.02</v>
      </c>
      <c r="L103" s="27">
        <f t="shared" si="7"/>
        <v>391391.7</v>
      </c>
      <c r="M103" s="6">
        <v>31319</v>
      </c>
      <c r="N103" s="43">
        <v>100000</v>
      </c>
      <c r="O103" s="43">
        <f t="shared" si="9"/>
        <v>491391.7</v>
      </c>
    </row>
    <row r="104" spans="1:16" s="40" customFormat="1" x14ac:dyDescent="0.25">
      <c r="A104" s="37" t="s">
        <v>767</v>
      </c>
      <c r="B104" s="37" t="s">
        <v>768</v>
      </c>
      <c r="C104" s="8">
        <v>19631663</v>
      </c>
      <c r="D104" s="8">
        <v>0</v>
      </c>
      <c r="E104" s="13"/>
      <c r="F104" s="38">
        <f t="shared" si="5"/>
        <v>0</v>
      </c>
      <c r="G104" s="13"/>
      <c r="H104" s="39"/>
      <c r="I104" s="8">
        <v>12605063</v>
      </c>
      <c r="J104" s="38">
        <f t="shared" si="6"/>
        <v>7026600</v>
      </c>
      <c r="K104" s="39"/>
      <c r="L104" s="27">
        <f t="shared" si="7"/>
        <v>0</v>
      </c>
      <c r="M104" s="39"/>
      <c r="N104" s="43"/>
      <c r="O104" s="43">
        <f t="shared" si="9"/>
        <v>0</v>
      </c>
      <c r="P104" s="39" t="s">
        <v>1045</v>
      </c>
    </row>
    <row r="105" spans="1:16" x14ac:dyDescent="0.25">
      <c r="A105" s="7" t="s">
        <v>523</v>
      </c>
      <c r="B105" s="7" t="s">
        <v>524</v>
      </c>
      <c r="C105" s="8">
        <v>19083971</v>
      </c>
      <c r="D105" s="9">
        <v>0</v>
      </c>
      <c r="F105" s="27">
        <f t="shared" si="5"/>
        <v>0</v>
      </c>
      <c r="G105" s="17">
        <v>1261800</v>
      </c>
      <c r="H105" s="19">
        <v>992569.55</v>
      </c>
      <c r="J105" s="27">
        <f t="shared" si="6"/>
        <v>16829601.449999999</v>
      </c>
      <c r="K105" s="34">
        <v>0.02</v>
      </c>
      <c r="L105" s="27">
        <f t="shared" si="7"/>
        <v>336592.02899999998</v>
      </c>
      <c r="M105" s="6">
        <v>31320</v>
      </c>
      <c r="N105" s="43">
        <v>100000</v>
      </c>
      <c r="O105" s="43">
        <f t="shared" si="9"/>
        <v>436592.02899999998</v>
      </c>
    </row>
    <row r="106" spans="1:16" x14ac:dyDescent="0.25">
      <c r="A106" s="7" t="s">
        <v>319</v>
      </c>
      <c r="B106" s="7" t="s">
        <v>320</v>
      </c>
      <c r="C106" s="8">
        <v>19069723</v>
      </c>
      <c r="D106" s="9">
        <v>418509</v>
      </c>
      <c r="E106" s="14">
        <v>418509</v>
      </c>
      <c r="F106" s="27">
        <f t="shared" si="5"/>
        <v>0</v>
      </c>
      <c r="G106" s="14"/>
      <c r="H106" s="19">
        <v>806409.15</v>
      </c>
      <c r="J106" s="27">
        <f t="shared" si="6"/>
        <v>18263313.850000001</v>
      </c>
      <c r="K106" s="34">
        <v>0.02</v>
      </c>
      <c r="L106" s="27">
        <f t="shared" si="7"/>
        <v>365266.27700000006</v>
      </c>
      <c r="M106" s="6">
        <v>31321</v>
      </c>
      <c r="N106" s="43">
        <v>100000</v>
      </c>
      <c r="O106" s="43">
        <f t="shared" si="9"/>
        <v>465266.27700000006</v>
      </c>
    </row>
    <row r="107" spans="1:16" x14ac:dyDescent="0.25">
      <c r="A107" s="7" t="s">
        <v>485</v>
      </c>
      <c r="B107" s="7" t="s">
        <v>486</v>
      </c>
      <c r="C107" s="8">
        <v>19041028</v>
      </c>
      <c r="D107" s="9">
        <v>610334</v>
      </c>
      <c r="E107" s="14">
        <v>610334</v>
      </c>
      <c r="F107" s="27">
        <f t="shared" si="5"/>
        <v>0</v>
      </c>
      <c r="G107" s="14"/>
      <c r="H107" s="19">
        <v>180809.1</v>
      </c>
      <c r="J107" s="27">
        <f t="shared" si="6"/>
        <v>18860218.899999999</v>
      </c>
      <c r="K107" s="34">
        <v>0.02</v>
      </c>
      <c r="L107" s="27">
        <f t="shared" si="7"/>
        <v>377204.37799999997</v>
      </c>
      <c r="M107" s="6">
        <v>31322</v>
      </c>
      <c r="N107" s="43">
        <v>100000</v>
      </c>
      <c r="O107" s="43">
        <f t="shared" si="9"/>
        <v>477204.37799999997</v>
      </c>
    </row>
    <row r="108" spans="1:16" x14ac:dyDescent="0.25">
      <c r="A108" s="7" t="s">
        <v>949</v>
      </c>
      <c r="B108" s="7" t="s">
        <v>950</v>
      </c>
      <c r="C108" s="8">
        <v>18886431</v>
      </c>
      <c r="D108" s="9">
        <v>863579</v>
      </c>
      <c r="E108" s="14">
        <v>863579</v>
      </c>
      <c r="F108" s="27">
        <f t="shared" si="5"/>
        <v>0</v>
      </c>
      <c r="G108" s="14"/>
      <c r="H108" s="19">
        <v>944321.89</v>
      </c>
      <c r="J108" s="27">
        <f t="shared" si="6"/>
        <v>17942109.109999999</v>
      </c>
      <c r="K108" s="34">
        <v>0.02</v>
      </c>
      <c r="L108" s="27">
        <f t="shared" si="7"/>
        <v>358842.18219999998</v>
      </c>
      <c r="M108" s="6">
        <v>31405</v>
      </c>
      <c r="N108" s="43">
        <v>100000</v>
      </c>
      <c r="O108" s="43">
        <f t="shared" si="9"/>
        <v>458842.18219999998</v>
      </c>
    </row>
    <row r="109" spans="1:16" x14ac:dyDescent="0.25">
      <c r="A109" s="7" t="s">
        <v>701</v>
      </c>
      <c r="B109" s="7" t="s">
        <v>702</v>
      </c>
      <c r="C109" s="8">
        <v>18724950</v>
      </c>
      <c r="D109" s="9">
        <v>355937</v>
      </c>
      <c r="E109" s="14">
        <v>355937</v>
      </c>
      <c r="F109" s="27">
        <f t="shared" si="5"/>
        <v>0</v>
      </c>
      <c r="G109" s="14"/>
      <c r="H109" s="19">
        <v>380141.44</v>
      </c>
      <c r="J109" s="27">
        <f t="shared" si="6"/>
        <v>18344808.559999999</v>
      </c>
      <c r="K109" s="34">
        <v>0.02</v>
      </c>
      <c r="L109" s="27">
        <f t="shared" si="7"/>
        <v>366896.17119999998</v>
      </c>
      <c r="M109" s="6">
        <v>31324</v>
      </c>
      <c r="N109" s="43">
        <v>100000</v>
      </c>
      <c r="O109" s="43">
        <f t="shared" si="9"/>
        <v>466896.17119999998</v>
      </c>
    </row>
    <row r="110" spans="1:16" x14ac:dyDescent="0.25">
      <c r="A110" s="7" t="s">
        <v>675</v>
      </c>
      <c r="B110" s="7" t="s">
        <v>676</v>
      </c>
      <c r="C110" s="8">
        <v>17976664</v>
      </c>
      <c r="D110" s="9">
        <v>109829</v>
      </c>
      <c r="E110" s="14">
        <v>109829</v>
      </c>
      <c r="F110" s="27">
        <f t="shared" si="5"/>
        <v>0</v>
      </c>
      <c r="G110" s="17">
        <v>275200</v>
      </c>
      <c r="H110" s="19">
        <v>792336.66</v>
      </c>
      <c r="J110" s="27">
        <f t="shared" si="6"/>
        <v>16909127.34</v>
      </c>
      <c r="K110" s="34">
        <v>0.02</v>
      </c>
      <c r="L110" s="27">
        <f t="shared" si="7"/>
        <v>338182.54680000001</v>
      </c>
      <c r="M110" s="6">
        <v>31325</v>
      </c>
      <c r="N110" s="43">
        <v>100000</v>
      </c>
      <c r="O110" s="43">
        <f t="shared" si="9"/>
        <v>438182.54680000001</v>
      </c>
    </row>
    <row r="111" spans="1:16" x14ac:dyDescent="0.25">
      <c r="A111" s="7" t="s">
        <v>339</v>
      </c>
      <c r="B111" s="7" t="s">
        <v>340</v>
      </c>
      <c r="C111" s="8">
        <v>17740877</v>
      </c>
      <c r="D111" s="9">
        <v>0</v>
      </c>
      <c r="F111" s="27">
        <f t="shared" si="5"/>
        <v>0</v>
      </c>
      <c r="G111" s="14"/>
      <c r="H111" s="19">
        <v>1054098</v>
      </c>
      <c r="J111" s="27">
        <f t="shared" si="6"/>
        <v>16686779</v>
      </c>
      <c r="K111" s="34">
        <v>0.02</v>
      </c>
      <c r="L111" s="27">
        <f t="shared" si="7"/>
        <v>333735.58</v>
      </c>
      <c r="M111" s="6">
        <v>31326</v>
      </c>
      <c r="N111" s="43">
        <v>100000</v>
      </c>
      <c r="O111" s="43">
        <f t="shared" si="9"/>
        <v>433735.58</v>
      </c>
    </row>
    <row r="112" spans="1:16" x14ac:dyDescent="0.25">
      <c r="A112" s="7" t="s">
        <v>763</v>
      </c>
      <c r="B112" s="7" t="s">
        <v>764</v>
      </c>
      <c r="C112" s="8">
        <v>17610987</v>
      </c>
      <c r="D112" s="9">
        <v>2800000</v>
      </c>
      <c r="F112" s="27">
        <f t="shared" si="5"/>
        <v>2800000</v>
      </c>
      <c r="G112" s="14"/>
      <c r="H112" s="19">
        <v>712840</v>
      </c>
      <c r="J112" s="27">
        <f t="shared" si="6"/>
        <v>14098147</v>
      </c>
      <c r="K112" s="36">
        <v>1.4999999999999999E-2</v>
      </c>
      <c r="L112" s="27">
        <f t="shared" si="7"/>
        <v>211472.20499999999</v>
      </c>
      <c r="M112" s="6">
        <v>31327</v>
      </c>
      <c r="N112" s="43">
        <v>100000</v>
      </c>
      <c r="O112" s="43">
        <f t="shared" si="9"/>
        <v>311472.20499999996</v>
      </c>
    </row>
    <row r="113" spans="1:15" x14ac:dyDescent="0.25">
      <c r="A113" s="7" t="s">
        <v>857</v>
      </c>
      <c r="B113" s="7" t="s">
        <v>858</v>
      </c>
      <c r="C113" s="8">
        <v>17550575</v>
      </c>
      <c r="D113" s="9">
        <v>0</v>
      </c>
      <c r="F113" s="27">
        <f t="shared" si="5"/>
        <v>0</v>
      </c>
      <c r="G113" s="14"/>
      <c r="H113" s="19">
        <v>714007.77</v>
      </c>
      <c r="J113" s="27">
        <f t="shared" si="6"/>
        <v>16836567.23</v>
      </c>
      <c r="K113" s="34">
        <v>0.02</v>
      </c>
      <c r="L113" s="27">
        <f t="shared" si="7"/>
        <v>336731.34460000001</v>
      </c>
      <c r="M113" s="6">
        <v>31328</v>
      </c>
      <c r="N113" s="43">
        <v>100000</v>
      </c>
      <c r="O113" s="43">
        <f t="shared" si="9"/>
        <v>436731.34460000001</v>
      </c>
    </row>
    <row r="114" spans="1:15" x14ac:dyDescent="0.25">
      <c r="A114" s="7" t="s">
        <v>599</v>
      </c>
      <c r="B114" s="7" t="s">
        <v>600</v>
      </c>
      <c r="C114" s="8">
        <v>17251703</v>
      </c>
      <c r="D114" s="9">
        <v>0</v>
      </c>
      <c r="F114" s="27">
        <f t="shared" si="5"/>
        <v>0</v>
      </c>
      <c r="G114" s="14"/>
      <c r="H114" s="19">
        <v>834496</v>
      </c>
      <c r="J114" s="27">
        <f t="shared" si="6"/>
        <v>16417207</v>
      </c>
      <c r="K114" s="34">
        <v>0.02</v>
      </c>
      <c r="L114" s="27">
        <f t="shared" si="7"/>
        <v>328344.14</v>
      </c>
      <c r="M114" s="6">
        <v>31329</v>
      </c>
      <c r="N114" s="43">
        <v>100000</v>
      </c>
      <c r="O114" s="43">
        <f t="shared" si="9"/>
        <v>428344.14</v>
      </c>
    </row>
    <row r="115" spans="1:15" x14ac:dyDescent="0.25">
      <c r="A115" s="7" t="s">
        <v>299</v>
      </c>
      <c r="B115" s="7" t="s">
        <v>300</v>
      </c>
      <c r="C115" s="8">
        <v>17054427</v>
      </c>
      <c r="D115" s="9">
        <v>108035</v>
      </c>
      <c r="E115" s="14">
        <v>108035</v>
      </c>
      <c r="F115" s="27">
        <f t="shared" si="5"/>
        <v>0</v>
      </c>
      <c r="G115" s="14"/>
      <c r="H115" s="19">
        <v>569974.74</v>
      </c>
      <c r="J115" s="27">
        <f t="shared" si="6"/>
        <v>16484452.26</v>
      </c>
      <c r="K115" s="34">
        <v>0.02</v>
      </c>
      <c r="L115" s="27">
        <f t="shared" si="7"/>
        <v>329689.04519999999</v>
      </c>
      <c r="M115" s="6">
        <v>31330</v>
      </c>
      <c r="N115" s="43">
        <v>100000</v>
      </c>
      <c r="O115" s="43">
        <f t="shared" si="9"/>
        <v>429689.04519999999</v>
      </c>
    </row>
    <row r="116" spans="1:15" x14ac:dyDescent="0.25">
      <c r="A116" s="7" t="s">
        <v>487</v>
      </c>
      <c r="B116" s="7" t="s">
        <v>488</v>
      </c>
      <c r="C116" s="8">
        <v>16994060</v>
      </c>
      <c r="D116" s="9">
        <v>0</v>
      </c>
      <c r="F116" s="27">
        <f t="shared" si="5"/>
        <v>0</v>
      </c>
      <c r="G116" s="14"/>
      <c r="H116" s="19">
        <v>763439.3</v>
      </c>
      <c r="J116" s="27">
        <f t="shared" si="6"/>
        <v>16230620.699999999</v>
      </c>
      <c r="K116" s="34">
        <v>0.02</v>
      </c>
      <c r="L116" s="27">
        <f t="shared" si="7"/>
        <v>324612.41399999999</v>
      </c>
      <c r="M116" s="6">
        <v>31331</v>
      </c>
      <c r="N116" s="43">
        <v>100000</v>
      </c>
      <c r="O116" s="43">
        <f t="shared" si="9"/>
        <v>424612.41399999999</v>
      </c>
    </row>
    <row r="117" spans="1:15" x14ac:dyDescent="0.25">
      <c r="A117" s="7" t="s">
        <v>127</v>
      </c>
      <c r="B117" s="7" t="s">
        <v>128</v>
      </c>
      <c r="C117" s="8">
        <v>16230935</v>
      </c>
      <c r="D117" s="9">
        <v>0</v>
      </c>
      <c r="F117" s="27">
        <f t="shared" si="5"/>
        <v>0</v>
      </c>
      <c r="G117" s="14"/>
      <c r="H117" s="19">
        <v>734186</v>
      </c>
      <c r="J117" s="27">
        <f t="shared" si="6"/>
        <v>15496749</v>
      </c>
      <c r="K117" s="34">
        <v>0.02</v>
      </c>
      <c r="L117" s="27">
        <f t="shared" si="7"/>
        <v>309934.98</v>
      </c>
      <c r="M117" s="6">
        <v>31332</v>
      </c>
      <c r="N117" s="43">
        <v>100000</v>
      </c>
      <c r="O117" s="43">
        <f t="shared" si="9"/>
        <v>409934.98</v>
      </c>
    </row>
    <row r="118" spans="1:15" x14ac:dyDescent="0.25">
      <c r="A118" s="7" t="s">
        <v>955</v>
      </c>
      <c r="B118" s="7" t="s">
        <v>956</v>
      </c>
      <c r="C118" s="8">
        <v>15964865</v>
      </c>
      <c r="D118" s="9">
        <v>119723</v>
      </c>
      <c r="E118" s="14">
        <v>119723</v>
      </c>
      <c r="F118" s="27">
        <f t="shared" si="5"/>
        <v>0</v>
      </c>
      <c r="G118" s="14"/>
      <c r="H118" s="19">
        <v>1033155.97</v>
      </c>
      <c r="J118" s="27">
        <f t="shared" si="6"/>
        <v>14931709.029999999</v>
      </c>
      <c r="K118" s="36">
        <v>1.4999999999999999E-2</v>
      </c>
      <c r="L118" s="27">
        <f t="shared" si="7"/>
        <v>223975.63544999997</v>
      </c>
      <c r="M118" s="6">
        <v>31333</v>
      </c>
      <c r="N118" s="43">
        <v>100000</v>
      </c>
      <c r="O118" s="43">
        <f t="shared" si="9"/>
        <v>323975.63544999994</v>
      </c>
    </row>
    <row r="119" spans="1:15" x14ac:dyDescent="0.25">
      <c r="A119" s="7" t="s">
        <v>223</v>
      </c>
      <c r="B119" s="7" t="s">
        <v>224</v>
      </c>
      <c r="C119" s="8">
        <v>15774387</v>
      </c>
      <c r="D119" s="9">
        <v>358182</v>
      </c>
      <c r="E119" s="14">
        <v>358182</v>
      </c>
      <c r="F119" s="27">
        <f t="shared" si="5"/>
        <v>0</v>
      </c>
      <c r="G119" s="17">
        <v>120100</v>
      </c>
      <c r="J119" s="27">
        <f t="shared" si="6"/>
        <v>15654287</v>
      </c>
      <c r="K119" s="34">
        <v>0.02</v>
      </c>
      <c r="L119" s="27">
        <f t="shared" si="7"/>
        <v>313085.74</v>
      </c>
      <c r="M119" s="6">
        <v>31334</v>
      </c>
      <c r="N119" s="43">
        <v>100000</v>
      </c>
      <c r="O119" s="43">
        <f t="shared" si="9"/>
        <v>413085.74</v>
      </c>
    </row>
    <row r="120" spans="1:15" x14ac:dyDescent="0.25">
      <c r="A120" s="7" t="s">
        <v>593</v>
      </c>
      <c r="B120" s="7" t="s">
        <v>594</v>
      </c>
      <c r="C120" s="8">
        <v>15544151</v>
      </c>
      <c r="D120" s="9">
        <v>359942</v>
      </c>
      <c r="E120" s="14">
        <v>359942</v>
      </c>
      <c r="F120" s="27">
        <f t="shared" si="5"/>
        <v>0</v>
      </c>
      <c r="G120" s="17">
        <v>44000</v>
      </c>
      <c r="H120" s="19">
        <v>477312</v>
      </c>
      <c r="J120" s="27">
        <f t="shared" si="6"/>
        <v>15022839</v>
      </c>
      <c r="K120" s="34">
        <v>0.02</v>
      </c>
      <c r="L120" s="27">
        <f t="shared" si="7"/>
        <v>300456.78000000003</v>
      </c>
      <c r="M120" s="6">
        <v>31335</v>
      </c>
      <c r="N120" s="43">
        <v>100000</v>
      </c>
      <c r="O120" s="43">
        <f t="shared" si="9"/>
        <v>400456.78</v>
      </c>
    </row>
    <row r="121" spans="1:15" x14ac:dyDescent="0.25">
      <c r="A121" s="7" t="s">
        <v>777</v>
      </c>
      <c r="B121" s="7" t="s">
        <v>778</v>
      </c>
      <c r="C121" s="8">
        <v>14845690</v>
      </c>
      <c r="D121" s="9">
        <v>111795</v>
      </c>
      <c r="E121" s="14">
        <v>111795</v>
      </c>
      <c r="F121" s="27">
        <f t="shared" si="5"/>
        <v>0</v>
      </c>
      <c r="G121" s="17">
        <v>65200</v>
      </c>
      <c r="H121" s="19">
        <v>657170.49</v>
      </c>
      <c r="J121" s="27">
        <f t="shared" si="6"/>
        <v>14123319.51</v>
      </c>
      <c r="K121" s="36">
        <v>1.4999999999999999E-2</v>
      </c>
      <c r="L121" s="27">
        <f t="shared" si="7"/>
        <v>211849.79264999999</v>
      </c>
      <c r="M121" s="6">
        <v>31336</v>
      </c>
      <c r="N121" s="43">
        <v>100000</v>
      </c>
      <c r="O121" s="43">
        <f t="shared" si="9"/>
        <v>311849.79264999996</v>
      </c>
    </row>
    <row r="122" spans="1:15" x14ac:dyDescent="0.25">
      <c r="A122" s="7" t="s">
        <v>991</v>
      </c>
      <c r="B122" s="7" t="s">
        <v>992</v>
      </c>
      <c r="C122" s="8">
        <v>14730907</v>
      </c>
      <c r="D122" s="9">
        <v>44640</v>
      </c>
      <c r="F122" s="27">
        <f t="shared" si="5"/>
        <v>44640</v>
      </c>
      <c r="G122" s="17">
        <v>17000</v>
      </c>
      <c r="H122" s="19">
        <v>600365.4</v>
      </c>
      <c r="J122" s="27">
        <f t="shared" si="6"/>
        <v>14068901.6</v>
      </c>
      <c r="K122" s="36">
        <v>1.4999999999999999E-2</v>
      </c>
      <c r="L122" s="27">
        <f t="shared" si="7"/>
        <v>211033.52399999998</v>
      </c>
      <c r="M122" s="6">
        <v>31337</v>
      </c>
      <c r="N122" s="43">
        <v>100000</v>
      </c>
      <c r="O122" s="43">
        <f t="shared" si="9"/>
        <v>311033.52399999998</v>
      </c>
    </row>
    <row r="123" spans="1:15" x14ac:dyDescent="0.25">
      <c r="A123" s="7" t="s">
        <v>601</v>
      </c>
      <c r="B123" s="7" t="s">
        <v>602</v>
      </c>
      <c r="C123" s="8">
        <v>14599291</v>
      </c>
      <c r="D123" s="9">
        <v>375653</v>
      </c>
      <c r="F123" s="27">
        <f t="shared" si="5"/>
        <v>375653</v>
      </c>
      <c r="G123" s="14"/>
      <c r="H123" s="19">
        <v>606818.11</v>
      </c>
      <c r="J123" s="27">
        <f t="shared" si="6"/>
        <v>13616819.890000001</v>
      </c>
      <c r="K123" s="36">
        <v>1.4999999999999999E-2</v>
      </c>
      <c r="L123" s="27">
        <f t="shared" si="7"/>
        <v>204252.29835</v>
      </c>
      <c r="M123" s="6">
        <v>31338</v>
      </c>
      <c r="N123" s="43">
        <v>100000</v>
      </c>
      <c r="O123" s="43">
        <f t="shared" si="9"/>
        <v>304252.29835</v>
      </c>
    </row>
    <row r="124" spans="1:15" x14ac:dyDescent="0.25">
      <c r="A124" s="7" t="s">
        <v>891</v>
      </c>
      <c r="B124" s="7" t="s">
        <v>892</v>
      </c>
      <c r="C124" s="8">
        <v>14416654</v>
      </c>
      <c r="D124" s="9">
        <v>2264315</v>
      </c>
      <c r="E124" s="14">
        <v>372987</v>
      </c>
      <c r="F124" s="27">
        <f t="shared" si="5"/>
        <v>1891328</v>
      </c>
      <c r="G124" s="14"/>
      <c r="H124" s="19">
        <v>664569.18999999994</v>
      </c>
      <c r="J124" s="27">
        <f t="shared" si="6"/>
        <v>11860756.810000001</v>
      </c>
      <c r="K124" s="36">
        <v>1.4999999999999999E-2</v>
      </c>
      <c r="L124" s="27">
        <f t="shared" si="7"/>
        <v>177911.35214999999</v>
      </c>
      <c r="M124" s="6">
        <v>31339</v>
      </c>
      <c r="N124" s="43">
        <v>100000</v>
      </c>
      <c r="O124" s="43">
        <f t="shared" si="9"/>
        <v>277911.35214999999</v>
      </c>
    </row>
    <row r="125" spans="1:15" x14ac:dyDescent="0.25">
      <c r="A125" s="7" t="s">
        <v>537</v>
      </c>
      <c r="B125" s="7" t="s">
        <v>538</v>
      </c>
      <c r="C125" s="8">
        <v>13704957</v>
      </c>
      <c r="D125" s="9">
        <v>0</v>
      </c>
      <c r="F125" s="27">
        <f t="shared" si="5"/>
        <v>0</v>
      </c>
      <c r="G125" s="17">
        <v>234710</v>
      </c>
      <c r="H125" s="19">
        <v>159493.91</v>
      </c>
      <c r="J125" s="27">
        <f t="shared" si="6"/>
        <v>13310753.09</v>
      </c>
      <c r="K125" s="36">
        <v>1.4999999999999999E-2</v>
      </c>
      <c r="L125" s="27">
        <f t="shared" si="7"/>
        <v>199661.29634999999</v>
      </c>
      <c r="M125" s="6">
        <v>31340</v>
      </c>
      <c r="N125" s="43">
        <v>100000</v>
      </c>
      <c r="O125" s="43">
        <f t="shared" si="9"/>
        <v>299661.29634999996</v>
      </c>
    </row>
    <row r="126" spans="1:15" x14ac:dyDescent="0.25">
      <c r="A126" s="7" t="s">
        <v>31</v>
      </c>
      <c r="B126" s="7" t="s">
        <v>32</v>
      </c>
      <c r="C126" s="8">
        <v>13598501</v>
      </c>
      <c r="D126" s="9">
        <v>0</v>
      </c>
      <c r="F126" s="27">
        <f t="shared" si="5"/>
        <v>0</v>
      </c>
      <c r="G126" s="14"/>
      <c r="H126" s="19">
        <v>551695.18999999994</v>
      </c>
      <c r="J126" s="27">
        <f t="shared" si="6"/>
        <v>13046805.810000001</v>
      </c>
      <c r="K126" s="36">
        <v>1.4999999999999999E-2</v>
      </c>
      <c r="L126" s="27">
        <f t="shared" si="7"/>
        <v>195702.08715000001</v>
      </c>
      <c r="M126" s="6">
        <v>31341</v>
      </c>
      <c r="N126" s="43">
        <v>100000</v>
      </c>
      <c r="O126" s="43">
        <f t="shared" si="9"/>
        <v>295702.08715000004</v>
      </c>
    </row>
    <row r="127" spans="1:15" x14ac:dyDescent="0.25">
      <c r="A127" s="7" t="s">
        <v>251</v>
      </c>
      <c r="B127" s="7" t="s">
        <v>252</v>
      </c>
      <c r="C127" s="8">
        <v>13393120</v>
      </c>
      <c r="D127" s="9">
        <v>7213200</v>
      </c>
      <c r="F127" s="27">
        <f t="shared" si="5"/>
        <v>7213200</v>
      </c>
      <c r="G127" s="14"/>
      <c r="H127" s="19">
        <v>303995.8</v>
      </c>
      <c r="J127" s="27">
        <f t="shared" si="6"/>
        <v>5875924.2000000002</v>
      </c>
      <c r="K127" s="34">
        <v>0.01</v>
      </c>
      <c r="L127" s="27">
        <f t="shared" si="7"/>
        <v>58759.242000000006</v>
      </c>
      <c r="M127" s="6">
        <v>31342</v>
      </c>
      <c r="O127" s="43">
        <f t="shared" si="9"/>
        <v>58759.242000000006</v>
      </c>
    </row>
    <row r="128" spans="1:15" x14ac:dyDescent="0.25">
      <c r="A128" s="7" t="s">
        <v>349</v>
      </c>
      <c r="B128" s="7" t="s">
        <v>350</v>
      </c>
      <c r="C128" s="8">
        <v>13009489</v>
      </c>
      <c r="D128" s="9">
        <v>355868</v>
      </c>
      <c r="F128" s="27">
        <f t="shared" si="5"/>
        <v>355868</v>
      </c>
      <c r="G128" s="17">
        <v>310965</v>
      </c>
      <c r="H128" s="19">
        <v>563104.15</v>
      </c>
      <c r="J128" s="27">
        <f t="shared" si="6"/>
        <v>11779551.85</v>
      </c>
      <c r="K128" s="36">
        <v>1.4999999999999999E-2</v>
      </c>
      <c r="L128" s="27">
        <f t="shared" si="7"/>
        <v>176693.27774999998</v>
      </c>
      <c r="M128" s="6">
        <v>31343</v>
      </c>
      <c r="N128" s="43">
        <v>100000</v>
      </c>
      <c r="O128" s="43">
        <f t="shared" si="9"/>
        <v>276693.27775000001</v>
      </c>
    </row>
    <row r="129" spans="1:16" x14ac:dyDescent="0.25">
      <c r="A129" s="7" t="s">
        <v>1023</v>
      </c>
      <c r="B129" s="7" t="s">
        <v>1024</v>
      </c>
      <c r="C129" s="8">
        <v>12879728</v>
      </c>
      <c r="D129" s="9">
        <v>2094148</v>
      </c>
      <c r="F129" s="27">
        <f t="shared" si="5"/>
        <v>2094148</v>
      </c>
      <c r="G129" s="14"/>
      <c r="H129" s="19">
        <v>407658.11</v>
      </c>
      <c r="J129" s="27">
        <f t="shared" si="6"/>
        <v>10377921.890000001</v>
      </c>
      <c r="K129" s="36">
        <v>1.4999999999999999E-2</v>
      </c>
      <c r="L129" s="27">
        <f t="shared" si="7"/>
        <v>155668.82835</v>
      </c>
      <c r="M129" s="6">
        <v>31344</v>
      </c>
      <c r="N129" s="43">
        <v>100000</v>
      </c>
      <c r="O129" s="43">
        <f t="shared" si="9"/>
        <v>255668.82835</v>
      </c>
    </row>
    <row r="130" spans="1:16" x14ac:dyDescent="0.25">
      <c r="A130" s="7" t="s">
        <v>669</v>
      </c>
      <c r="B130" s="7" t="s">
        <v>670</v>
      </c>
      <c r="C130" s="8">
        <v>12685050</v>
      </c>
      <c r="D130" s="9">
        <v>954645</v>
      </c>
      <c r="E130" s="14">
        <v>954645</v>
      </c>
      <c r="F130" s="27">
        <f t="shared" si="5"/>
        <v>0</v>
      </c>
      <c r="G130" s="14"/>
      <c r="J130" s="27">
        <f t="shared" si="6"/>
        <v>12685050</v>
      </c>
      <c r="K130" s="36">
        <v>1.4999999999999999E-2</v>
      </c>
      <c r="L130" s="27">
        <f t="shared" si="7"/>
        <v>190275.75</v>
      </c>
      <c r="M130" s="6">
        <v>31345</v>
      </c>
      <c r="N130" s="43">
        <v>100000</v>
      </c>
      <c r="O130" s="43">
        <f t="shared" si="9"/>
        <v>290275.75</v>
      </c>
    </row>
    <row r="131" spans="1:16" x14ac:dyDescent="0.25">
      <c r="A131" s="7" t="s">
        <v>411</v>
      </c>
      <c r="B131" s="7" t="s">
        <v>412</v>
      </c>
      <c r="C131" s="8">
        <v>12580609</v>
      </c>
      <c r="D131" s="9">
        <v>0</v>
      </c>
      <c r="F131" s="27">
        <f t="shared" si="5"/>
        <v>0</v>
      </c>
      <c r="G131" s="17">
        <v>432660</v>
      </c>
      <c r="J131" s="27">
        <f t="shared" si="6"/>
        <v>12147949</v>
      </c>
      <c r="K131" s="36">
        <v>1.4999999999999999E-2</v>
      </c>
      <c r="L131" s="27">
        <f t="shared" si="7"/>
        <v>182219.23499999999</v>
      </c>
      <c r="M131" s="6">
        <v>31346</v>
      </c>
      <c r="N131" s="43">
        <v>100000</v>
      </c>
      <c r="O131" s="43">
        <f t="shared" si="9"/>
        <v>282219.23499999999</v>
      </c>
    </row>
    <row r="132" spans="1:16" x14ac:dyDescent="0.25">
      <c r="A132" s="7" t="s">
        <v>953</v>
      </c>
      <c r="B132" s="7" t="s">
        <v>954</v>
      </c>
      <c r="C132" s="8">
        <v>12475827</v>
      </c>
      <c r="D132" s="9">
        <v>110064</v>
      </c>
      <c r="E132" s="14">
        <v>110064</v>
      </c>
      <c r="F132" s="27">
        <f t="shared" ref="F132:F195" si="10">D132-E132</f>
        <v>0</v>
      </c>
      <c r="G132" s="14"/>
      <c r="H132" s="19">
        <v>431500.65</v>
      </c>
      <c r="J132" s="27">
        <f t="shared" ref="J132:J195" si="11">C132-F132-G132-H132-I132</f>
        <v>12044326.35</v>
      </c>
      <c r="K132" s="36">
        <v>1.4999999999999999E-2</v>
      </c>
      <c r="L132" s="27">
        <f t="shared" ref="L132:L195" si="12">J132*K132</f>
        <v>180664.89525</v>
      </c>
      <c r="M132" s="6">
        <v>31347</v>
      </c>
      <c r="N132" s="43">
        <v>100000</v>
      </c>
      <c r="O132" s="43">
        <f t="shared" ref="O132:O146" si="13">L132+N132</f>
        <v>280664.89525</v>
      </c>
    </row>
    <row r="133" spans="1:16" x14ac:dyDescent="0.25">
      <c r="A133" s="7" t="s">
        <v>49</v>
      </c>
      <c r="B133" s="7" t="s">
        <v>50</v>
      </c>
      <c r="C133" s="8">
        <v>12358860</v>
      </c>
      <c r="D133" s="9">
        <v>0</v>
      </c>
      <c r="F133" s="27">
        <f t="shared" si="10"/>
        <v>0</v>
      </c>
      <c r="G133" s="14"/>
      <c r="J133" s="27">
        <f t="shared" si="11"/>
        <v>12358860</v>
      </c>
      <c r="K133" s="36">
        <v>1.4999999999999999E-2</v>
      </c>
      <c r="L133" s="27">
        <f t="shared" si="12"/>
        <v>185382.9</v>
      </c>
      <c r="M133" s="6">
        <v>31348</v>
      </c>
      <c r="N133" s="43">
        <v>100000</v>
      </c>
      <c r="O133" s="43">
        <f t="shared" si="13"/>
        <v>285382.90000000002</v>
      </c>
    </row>
    <row r="134" spans="1:16" s="5" customFormat="1" x14ac:dyDescent="0.25">
      <c r="A134" s="10" t="s">
        <v>995</v>
      </c>
      <c r="B134" s="10" t="s">
        <v>996</v>
      </c>
      <c r="C134" s="11">
        <v>12350040</v>
      </c>
      <c r="D134" s="11">
        <v>0</v>
      </c>
      <c r="E134" s="15"/>
      <c r="F134" s="27">
        <f t="shared" si="10"/>
        <v>0</v>
      </c>
      <c r="G134" s="15"/>
      <c r="H134" s="12"/>
      <c r="I134" s="12"/>
      <c r="J134" s="27">
        <f t="shared" si="11"/>
        <v>12350040</v>
      </c>
      <c r="K134" s="36"/>
      <c r="L134" s="27">
        <f t="shared" si="12"/>
        <v>0</v>
      </c>
      <c r="M134" s="12"/>
      <c r="N134" s="43">
        <v>100000</v>
      </c>
      <c r="O134" s="43">
        <f t="shared" si="13"/>
        <v>100000</v>
      </c>
      <c r="P134" s="12"/>
    </row>
    <row r="135" spans="1:16" x14ac:dyDescent="0.25">
      <c r="A135" s="7" t="s">
        <v>921</v>
      </c>
      <c r="B135" s="7" t="s">
        <v>922</v>
      </c>
      <c r="C135" s="8">
        <v>12252586</v>
      </c>
      <c r="D135" s="9">
        <v>0</v>
      </c>
      <c r="E135" s="14">
        <v>116427</v>
      </c>
      <c r="F135" s="27">
        <f t="shared" si="10"/>
        <v>-116427</v>
      </c>
      <c r="G135" s="14"/>
      <c r="H135" s="19">
        <v>438650.4</v>
      </c>
      <c r="J135" s="27">
        <f t="shared" si="11"/>
        <v>11930362.6</v>
      </c>
      <c r="K135" s="36">
        <v>1.4999999999999999E-2</v>
      </c>
      <c r="L135" s="27">
        <f t="shared" si="12"/>
        <v>178955.43899999998</v>
      </c>
      <c r="M135" s="6">
        <v>31349</v>
      </c>
      <c r="N135" s="43">
        <v>100000</v>
      </c>
      <c r="O135" s="43">
        <f t="shared" si="13"/>
        <v>278955.43900000001</v>
      </c>
    </row>
    <row r="136" spans="1:16" x14ac:dyDescent="0.25">
      <c r="A136" s="7" t="s">
        <v>353</v>
      </c>
      <c r="B136" s="7" t="s">
        <v>354</v>
      </c>
      <c r="C136" s="8">
        <v>12059552</v>
      </c>
      <c r="D136" s="9">
        <v>0</v>
      </c>
      <c r="F136" s="27">
        <f t="shared" si="10"/>
        <v>0</v>
      </c>
      <c r="G136" s="14"/>
      <c r="H136" s="19">
        <v>419285.88</v>
      </c>
      <c r="J136" s="27">
        <f t="shared" si="11"/>
        <v>11640266.119999999</v>
      </c>
      <c r="K136" s="36">
        <v>1.4999999999999999E-2</v>
      </c>
      <c r="L136" s="27">
        <f t="shared" si="12"/>
        <v>174603.99179999999</v>
      </c>
      <c r="M136" s="6">
        <v>31350</v>
      </c>
      <c r="N136" s="43">
        <v>100000</v>
      </c>
      <c r="O136" s="43">
        <f t="shared" si="13"/>
        <v>274603.99179999996</v>
      </c>
    </row>
    <row r="137" spans="1:16" x14ac:dyDescent="0.25">
      <c r="A137" s="7" t="s">
        <v>73</v>
      </c>
      <c r="B137" s="7" t="s">
        <v>74</v>
      </c>
      <c r="C137" s="8">
        <v>11510305</v>
      </c>
      <c r="D137" s="9">
        <v>0</v>
      </c>
      <c r="F137" s="27">
        <f t="shared" si="10"/>
        <v>0</v>
      </c>
      <c r="G137" s="17">
        <v>32600</v>
      </c>
      <c r="J137" s="27">
        <f t="shared" si="11"/>
        <v>11477705</v>
      </c>
      <c r="K137" s="36">
        <v>1.4999999999999999E-2</v>
      </c>
      <c r="L137" s="27">
        <f t="shared" si="12"/>
        <v>172165.57499999998</v>
      </c>
      <c r="M137" s="6">
        <v>31351</v>
      </c>
      <c r="N137" s="43">
        <v>100000</v>
      </c>
      <c r="O137" s="43">
        <f t="shared" si="13"/>
        <v>272165.57499999995</v>
      </c>
    </row>
    <row r="138" spans="1:16" x14ac:dyDescent="0.25">
      <c r="A138" s="7" t="s">
        <v>685</v>
      </c>
      <c r="B138" s="7" t="s">
        <v>686</v>
      </c>
      <c r="C138" s="8">
        <v>11347421</v>
      </c>
      <c r="D138" s="9">
        <v>0</v>
      </c>
      <c r="F138" s="27">
        <f t="shared" si="10"/>
        <v>0</v>
      </c>
      <c r="G138" s="17">
        <v>377320</v>
      </c>
      <c r="H138" s="19">
        <v>687445.15</v>
      </c>
      <c r="J138" s="27">
        <f t="shared" si="11"/>
        <v>10282655.85</v>
      </c>
      <c r="K138" s="36">
        <v>1.4999999999999999E-2</v>
      </c>
      <c r="L138" s="27">
        <f t="shared" si="12"/>
        <v>154239.83774999998</v>
      </c>
      <c r="M138" s="6">
        <v>31352</v>
      </c>
      <c r="N138" s="43">
        <v>100000</v>
      </c>
      <c r="O138" s="43">
        <f t="shared" si="13"/>
        <v>254239.83774999998</v>
      </c>
    </row>
    <row r="139" spans="1:16" x14ac:dyDescent="0.25">
      <c r="A139" s="7" t="s">
        <v>867</v>
      </c>
      <c r="B139" s="7" t="s">
        <v>868</v>
      </c>
      <c r="C139" s="8">
        <v>11218355</v>
      </c>
      <c r="D139" s="9">
        <v>0</v>
      </c>
      <c r="F139" s="27">
        <f t="shared" si="10"/>
        <v>0</v>
      </c>
      <c r="G139" s="17">
        <v>1200000</v>
      </c>
      <c r="J139" s="27">
        <f t="shared" si="11"/>
        <v>10018355</v>
      </c>
      <c r="K139" s="36">
        <v>1.4999999999999999E-2</v>
      </c>
      <c r="L139" s="27">
        <f t="shared" si="12"/>
        <v>150275.32499999998</v>
      </c>
      <c r="N139" s="43">
        <v>100000</v>
      </c>
      <c r="O139" s="43">
        <f t="shared" si="13"/>
        <v>250275.32499999998</v>
      </c>
    </row>
    <row r="140" spans="1:16" x14ac:dyDescent="0.25">
      <c r="A140" s="7" t="s">
        <v>313</v>
      </c>
      <c r="B140" s="7" t="s">
        <v>314</v>
      </c>
      <c r="C140" s="8">
        <v>10671149</v>
      </c>
      <c r="D140" s="9">
        <v>104605</v>
      </c>
      <c r="E140" s="14">
        <v>104605</v>
      </c>
      <c r="F140" s="27">
        <f t="shared" si="10"/>
        <v>0</v>
      </c>
      <c r="G140" s="14"/>
      <c r="H140" s="19">
        <v>330100</v>
      </c>
      <c r="J140" s="27">
        <f t="shared" si="11"/>
        <v>10341049</v>
      </c>
      <c r="K140" s="36">
        <v>1.4999999999999999E-2</v>
      </c>
      <c r="L140" s="27">
        <f t="shared" si="12"/>
        <v>155115.73499999999</v>
      </c>
      <c r="M140" s="6">
        <v>31353</v>
      </c>
      <c r="N140" s="43">
        <v>100000</v>
      </c>
      <c r="O140" s="43">
        <f t="shared" si="13"/>
        <v>255115.73499999999</v>
      </c>
    </row>
    <row r="141" spans="1:16" x14ac:dyDescent="0.25">
      <c r="A141" s="7" t="s">
        <v>205</v>
      </c>
      <c r="B141" s="7" t="s">
        <v>206</v>
      </c>
      <c r="C141" s="8">
        <v>10621200</v>
      </c>
      <c r="D141" s="9">
        <v>0</v>
      </c>
      <c r="F141" s="27">
        <f t="shared" si="10"/>
        <v>0</v>
      </c>
      <c r="G141" s="14"/>
      <c r="J141" s="27">
        <f t="shared" si="11"/>
        <v>10621200</v>
      </c>
      <c r="K141" s="36">
        <v>1.4999999999999999E-2</v>
      </c>
      <c r="L141" s="27">
        <f t="shared" si="12"/>
        <v>159318</v>
      </c>
      <c r="M141" s="6">
        <v>31354</v>
      </c>
      <c r="N141" s="43">
        <v>100000</v>
      </c>
      <c r="O141" s="43">
        <f t="shared" si="13"/>
        <v>259318</v>
      </c>
    </row>
    <row r="142" spans="1:16" x14ac:dyDescent="0.25">
      <c r="A142" s="7" t="s">
        <v>657</v>
      </c>
      <c r="B142" s="7" t="s">
        <v>658</v>
      </c>
      <c r="C142" s="8">
        <v>10609531</v>
      </c>
      <c r="D142" s="9">
        <v>0</v>
      </c>
      <c r="F142" s="27">
        <f t="shared" si="10"/>
        <v>0</v>
      </c>
      <c r="G142" s="14"/>
      <c r="H142" s="19">
        <v>444340.83</v>
      </c>
      <c r="J142" s="27">
        <f t="shared" si="11"/>
        <v>10165190.17</v>
      </c>
      <c r="K142" s="36">
        <v>1.4999999999999999E-2</v>
      </c>
      <c r="L142" s="27">
        <f t="shared" si="12"/>
        <v>152477.85254999998</v>
      </c>
      <c r="M142" s="6">
        <v>31355</v>
      </c>
      <c r="N142" s="43">
        <v>100000</v>
      </c>
      <c r="O142" s="43">
        <f t="shared" si="13"/>
        <v>252477.85254999998</v>
      </c>
    </row>
    <row r="143" spans="1:16" x14ac:dyDescent="0.25">
      <c r="A143" s="7" t="s">
        <v>977</v>
      </c>
      <c r="B143" s="7" t="s">
        <v>978</v>
      </c>
      <c r="C143" s="8">
        <v>10514223</v>
      </c>
      <c r="D143" s="9">
        <v>0</v>
      </c>
      <c r="F143" s="27">
        <f t="shared" si="10"/>
        <v>0</v>
      </c>
      <c r="G143" s="17">
        <v>32600</v>
      </c>
      <c r="H143" s="19">
        <v>462302.87</v>
      </c>
      <c r="J143" s="27">
        <f t="shared" si="11"/>
        <v>10019320.130000001</v>
      </c>
      <c r="K143" s="36">
        <v>1.4999999999999999E-2</v>
      </c>
      <c r="L143" s="27">
        <f t="shared" si="12"/>
        <v>150289.80194999999</v>
      </c>
      <c r="M143" s="6">
        <v>31356</v>
      </c>
      <c r="N143" s="43">
        <v>100000</v>
      </c>
      <c r="O143" s="43">
        <f t="shared" si="13"/>
        <v>250289.80194999999</v>
      </c>
    </row>
    <row r="144" spans="1:16" x14ac:dyDescent="0.25">
      <c r="A144" s="7" t="s">
        <v>873</v>
      </c>
      <c r="B144" s="7" t="s">
        <v>874</v>
      </c>
      <c r="C144" s="8">
        <v>10401128</v>
      </c>
      <c r="D144" s="9">
        <v>356400</v>
      </c>
      <c r="F144" s="27">
        <f t="shared" si="10"/>
        <v>356400</v>
      </c>
      <c r="G144" s="14"/>
      <c r="H144" s="19">
        <v>376771.9</v>
      </c>
      <c r="J144" s="27">
        <f t="shared" si="11"/>
        <v>9667956.0999999996</v>
      </c>
      <c r="K144" s="34">
        <v>0.01</v>
      </c>
      <c r="L144" s="27">
        <f t="shared" si="12"/>
        <v>96679.561000000002</v>
      </c>
      <c r="M144" s="6">
        <v>31357</v>
      </c>
      <c r="O144" s="43">
        <f t="shared" si="13"/>
        <v>96679.561000000002</v>
      </c>
    </row>
    <row r="145" spans="1:15" x14ac:dyDescent="0.25">
      <c r="A145" s="7" t="s">
        <v>951</v>
      </c>
      <c r="B145" s="7" t="s">
        <v>952</v>
      </c>
      <c r="C145" s="8">
        <v>10105706</v>
      </c>
      <c r="D145" s="9">
        <v>0</v>
      </c>
      <c r="F145" s="27">
        <f t="shared" si="10"/>
        <v>0</v>
      </c>
      <c r="G145" s="14"/>
      <c r="H145" s="19">
        <v>505284</v>
      </c>
      <c r="J145" s="27">
        <f t="shared" si="11"/>
        <v>9600422</v>
      </c>
      <c r="K145" s="34">
        <v>0.01</v>
      </c>
      <c r="L145" s="27">
        <f t="shared" si="12"/>
        <v>96004.22</v>
      </c>
      <c r="M145" s="6">
        <v>31358</v>
      </c>
      <c r="O145" s="43">
        <f t="shared" si="13"/>
        <v>96004.22</v>
      </c>
    </row>
    <row r="146" spans="1:15" x14ac:dyDescent="0.25">
      <c r="A146" s="7" t="s">
        <v>605</v>
      </c>
      <c r="B146" s="7" t="s">
        <v>606</v>
      </c>
      <c r="C146" s="8">
        <v>10041975</v>
      </c>
      <c r="D146" s="9">
        <v>0</v>
      </c>
      <c r="F146" s="27">
        <f t="shared" si="10"/>
        <v>0</v>
      </c>
      <c r="G146" s="14"/>
      <c r="J146" s="27">
        <f t="shared" si="11"/>
        <v>10041975</v>
      </c>
      <c r="K146" s="36">
        <v>1.4999999999999999E-2</v>
      </c>
      <c r="L146" s="27">
        <f t="shared" si="12"/>
        <v>150629.625</v>
      </c>
      <c r="M146" s="6">
        <v>31359</v>
      </c>
      <c r="N146" s="43">
        <v>100000</v>
      </c>
      <c r="O146" s="43">
        <f t="shared" si="13"/>
        <v>250629.625</v>
      </c>
    </row>
    <row r="147" spans="1:15" x14ac:dyDescent="0.25">
      <c r="A147" s="7" t="s">
        <v>433</v>
      </c>
      <c r="B147" s="7" t="s">
        <v>434</v>
      </c>
      <c r="C147" s="8">
        <v>9909174</v>
      </c>
      <c r="D147" s="9">
        <v>688644</v>
      </c>
      <c r="F147" s="27">
        <f t="shared" si="10"/>
        <v>688644</v>
      </c>
      <c r="G147" s="14"/>
      <c r="H147" s="19">
        <v>469503.99</v>
      </c>
      <c r="J147" s="27">
        <f t="shared" si="11"/>
        <v>8751026.0099999998</v>
      </c>
      <c r="K147" s="34">
        <v>0.01</v>
      </c>
      <c r="L147" s="27">
        <f t="shared" si="12"/>
        <v>87510.2601</v>
      </c>
      <c r="M147" s="6">
        <v>31360</v>
      </c>
    </row>
    <row r="148" spans="1:15" x14ac:dyDescent="0.25">
      <c r="A148" s="7" t="s">
        <v>725</v>
      </c>
      <c r="B148" s="7" t="s">
        <v>726</v>
      </c>
      <c r="C148" s="8">
        <v>9686608</v>
      </c>
      <c r="D148" s="9">
        <v>0</v>
      </c>
      <c r="F148" s="27">
        <f t="shared" si="10"/>
        <v>0</v>
      </c>
      <c r="G148" s="14"/>
      <c r="H148" s="19">
        <v>123787.73</v>
      </c>
      <c r="J148" s="27">
        <f t="shared" si="11"/>
        <v>9562820.2699999996</v>
      </c>
      <c r="K148" s="34">
        <v>0.01</v>
      </c>
      <c r="L148" s="27">
        <f t="shared" si="12"/>
        <v>95628.202699999994</v>
      </c>
      <c r="M148" s="6">
        <v>31361</v>
      </c>
    </row>
    <row r="149" spans="1:15" x14ac:dyDescent="0.25">
      <c r="A149" s="7" t="s">
        <v>875</v>
      </c>
      <c r="B149" s="7" t="s">
        <v>876</v>
      </c>
      <c r="C149" s="8">
        <v>9612501</v>
      </c>
      <c r="D149" s="9">
        <v>0</v>
      </c>
      <c r="F149" s="27">
        <f t="shared" si="10"/>
        <v>0</v>
      </c>
      <c r="G149" s="14"/>
      <c r="H149" s="19">
        <v>466582</v>
      </c>
      <c r="J149" s="27">
        <f t="shared" si="11"/>
        <v>9145919</v>
      </c>
      <c r="K149" s="34">
        <v>0.01</v>
      </c>
      <c r="L149" s="27">
        <f t="shared" si="12"/>
        <v>91459.19</v>
      </c>
      <c r="M149" s="6">
        <v>31362</v>
      </c>
    </row>
    <row r="150" spans="1:15" x14ac:dyDescent="0.25">
      <c r="A150" s="7" t="s">
        <v>929</v>
      </c>
      <c r="B150" s="7" t="s">
        <v>930</v>
      </c>
      <c r="C150" s="8">
        <v>9385667</v>
      </c>
      <c r="D150" s="9">
        <v>0</v>
      </c>
      <c r="F150" s="27">
        <f t="shared" si="10"/>
        <v>0</v>
      </c>
      <c r="G150" s="14"/>
      <c r="H150" s="19">
        <v>400263.73</v>
      </c>
      <c r="J150" s="27">
        <f t="shared" si="11"/>
        <v>8985403.2699999996</v>
      </c>
      <c r="K150" s="34">
        <v>0.01</v>
      </c>
      <c r="L150" s="27">
        <f t="shared" si="12"/>
        <v>89854.032699999996</v>
      </c>
      <c r="M150" s="6">
        <v>31363</v>
      </c>
    </row>
    <row r="151" spans="1:15" x14ac:dyDescent="0.25">
      <c r="A151" s="7" t="s">
        <v>545</v>
      </c>
      <c r="B151" s="7" t="s">
        <v>546</v>
      </c>
      <c r="C151" s="8">
        <v>9090012</v>
      </c>
      <c r="D151" s="9">
        <v>0</v>
      </c>
      <c r="F151" s="27">
        <f t="shared" si="10"/>
        <v>0</v>
      </c>
      <c r="G151" s="17">
        <v>132000</v>
      </c>
      <c r="H151" s="19">
        <v>430562.3</v>
      </c>
      <c r="J151" s="27">
        <f t="shared" si="11"/>
        <v>8527449.6999999993</v>
      </c>
      <c r="K151" s="34">
        <v>0.01</v>
      </c>
      <c r="L151" s="27">
        <f t="shared" si="12"/>
        <v>85274.496999999988</v>
      </c>
      <c r="M151" s="6">
        <v>31364</v>
      </c>
    </row>
    <row r="152" spans="1:15" x14ac:dyDescent="0.25">
      <c r="A152" s="7" t="s">
        <v>659</v>
      </c>
      <c r="B152" s="7" t="s">
        <v>660</v>
      </c>
      <c r="C152" s="8">
        <v>8831216</v>
      </c>
      <c r="D152" s="9">
        <v>0</v>
      </c>
      <c r="F152" s="27">
        <f t="shared" si="10"/>
        <v>0</v>
      </c>
      <c r="G152" s="14"/>
      <c r="H152" s="19">
        <v>443780.36</v>
      </c>
      <c r="J152" s="27">
        <f t="shared" si="11"/>
        <v>8387435.6399999997</v>
      </c>
      <c r="K152" s="34">
        <v>0.01</v>
      </c>
      <c r="L152" s="27">
        <f t="shared" si="12"/>
        <v>83874.356400000004</v>
      </c>
      <c r="M152" s="6">
        <v>31365</v>
      </c>
    </row>
    <row r="153" spans="1:15" x14ac:dyDescent="0.25">
      <c r="A153" s="7" t="s">
        <v>939</v>
      </c>
      <c r="B153" s="7" t="s">
        <v>940</v>
      </c>
      <c r="C153" s="8">
        <v>8613646</v>
      </c>
      <c r="D153" s="9">
        <v>0</v>
      </c>
      <c r="F153" s="27">
        <f t="shared" si="10"/>
        <v>0</v>
      </c>
      <c r="G153" s="17">
        <v>218800</v>
      </c>
      <c r="J153" s="27">
        <f t="shared" si="11"/>
        <v>8394846</v>
      </c>
      <c r="K153" s="34">
        <v>0.01</v>
      </c>
      <c r="L153" s="27">
        <f t="shared" si="12"/>
        <v>83948.46</v>
      </c>
      <c r="M153" s="6">
        <v>31366</v>
      </c>
    </row>
    <row r="154" spans="1:15" x14ac:dyDescent="0.25">
      <c r="A154" s="7" t="s">
        <v>575</v>
      </c>
      <c r="B154" s="7" t="s">
        <v>576</v>
      </c>
      <c r="C154" s="8">
        <v>8608368</v>
      </c>
      <c r="D154" s="9">
        <v>0</v>
      </c>
      <c r="F154" s="27">
        <f t="shared" si="10"/>
        <v>0</v>
      </c>
      <c r="G154" s="14"/>
      <c r="J154" s="27">
        <f t="shared" si="11"/>
        <v>8608368</v>
      </c>
      <c r="K154" s="34">
        <v>0.01</v>
      </c>
      <c r="L154" s="27">
        <f t="shared" si="12"/>
        <v>86083.680000000008</v>
      </c>
      <c r="M154" s="6">
        <v>31367</v>
      </c>
    </row>
    <row r="155" spans="1:15" x14ac:dyDescent="0.25">
      <c r="A155" s="7" t="s">
        <v>615</v>
      </c>
      <c r="B155" s="7" t="s">
        <v>616</v>
      </c>
      <c r="C155" s="8">
        <v>8475182</v>
      </c>
      <c r="D155" s="9">
        <v>0</v>
      </c>
      <c r="F155" s="27">
        <f t="shared" si="10"/>
        <v>0</v>
      </c>
      <c r="G155" s="14"/>
      <c r="H155" s="19">
        <v>390638.55</v>
      </c>
      <c r="J155" s="27">
        <f t="shared" si="11"/>
        <v>8084543.4500000002</v>
      </c>
      <c r="K155" s="34">
        <v>0.01</v>
      </c>
      <c r="L155" s="27">
        <f t="shared" si="12"/>
        <v>80845.434500000003</v>
      </c>
      <c r="M155" s="6">
        <v>31368</v>
      </c>
    </row>
    <row r="156" spans="1:15" x14ac:dyDescent="0.25">
      <c r="A156" s="7" t="s">
        <v>711</v>
      </c>
      <c r="B156" s="7" t="s">
        <v>712</v>
      </c>
      <c r="C156" s="8">
        <v>8304995</v>
      </c>
      <c r="D156" s="9">
        <v>3059855</v>
      </c>
      <c r="F156" s="27">
        <f t="shared" si="10"/>
        <v>3059855</v>
      </c>
      <c r="G156" s="14"/>
      <c r="H156" s="19">
        <v>105867</v>
      </c>
      <c r="J156" s="27">
        <f t="shared" si="11"/>
        <v>5139273</v>
      </c>
      <c r="K156" s="34">
        <v>0.01</v>
      </c>
      <c r="L156" s="27">
        <f t="shared" si="12"/>
        <v>51392.73</v>
      </c>
      <c r="M156" s="6">
        <v>31369</v>
      </c>
    </row>
    <row r="157" spans="1:15" x14ac:dyDescent="0.25">
      <c r="A157" s="7" t="s">
        <v>243</v>
      </c>
      <c r="B157" s="7" t="s">
        <v>244</v>
      </c>
      <c r="C157" s="8">
        <v>8262152</v>
      </c>
      <c r="D157" s="9">
        <v>0</v>
      </c>
      <c r="F157" s="27">
        <f t="shared" si="10"/>
        <v>0</v>
      </c>
      <c r="G157" s="14"/>
      <c r="H157" s="19">
        <v>495729.88</v>
      </c>
      <c r="J157" s="27">
        <f t="shared" si="11"/>
        <v>7766422.1200000001</v>
      </c>
      <c r="K157" s="34">
        <v>0.01</v>
      </c>
      <c r="L157" s="27">
        <f t="shared" si="12"/>
        <v>77664.2212</v>
      </c>
      <c r="M157" s="6">
        <v>31370</v>
      </c>
    </row>
    <row r="158" spans="1:15" x14ac:dyDescent="0.25">
      <c r="A158" s="7" t="s">
        <v>497</v>
      </c>
      <c r="B158" s="7" t="s">
        <v>498</v>
      </c>
      <c r="C158" s="8">
        <v>8109459</v>
      </c>
      <c r="D158" s="9">
        <v>823182</v>
      </c>
      <c r="E158" s="14">
        <v>714108</v>
      </c>
      <c r="F158" s="27">
        <f t="shared" si="10"/>
        <v>109074</v>
      </c>
      <c r="G158" s="14"/>
      <c r="H158" s="19">
        <v>703496.84</v>
      </c>
      <c r="J158" s="27">
        <f t="shared" si="11"/>
        <v>7296888.1600000001</v>
      </c>
      <c r="K158" s="34">
        <v>0.01</v>
      </c>
      <c r="L158" s="27">
        <f t="shared" si="12"/>
        <v>72968.881600000008</v>
      </c>
      <c r="M158" s="6">
        <v>31371</v>
      </c>
    </row>
    <row r="159" spans="1:15" x14ac:dyDescent="0.25">
      <c r="A159" s="7" t="s">
        <v>439</v>
      </c>
      <c r="B159" s="7" t="s">
        <v>440</v>
      </c>
      <c r="C159" s="8">
        <v>8016070</v>
      </c>
      <c r="D159" s="9">
        <v>0</v>
      </c>
      <c r="F159" s="27">
        <f t="shared" si="10"/>
        <v>0</v>
      </c>
      <c r="G159" s="14"/>
      <c r="H159" s="19">
        <v>168077.84</v>
      </c>
      <c r="J159" s="27">
        <f t="shared" si="11"/>
        <v>7847992.1600000001</v>
      </c>
      <c r="K159" s="34">
        <v>0.01</v>
      </c>
      <c r="L159" s="27">
        <f t="shared" si="12"/>
        <v>78479.921600000001</v>
      </c>
      <c r="M159" s="6">
        <v>31372</v>
      </c>
    </row>
    <row r="160" spans="1:15" x14ac:dyDescent="0.25">
      <c r="A160" s="7" t="s">
        <v>377</v>
      </c>
      <c r="B160" s="7" t="s">
        <v>378</v>
      </c>
      <c r="C160" s="8">
        <v>8008800</v>
      </c>
      <c r="D160" s="9">
        <v>0</v>
      </c>
      <c r="F160" s="27">
        <f t="shared" si="10"/>
        <v>0</v>
      </c>
      <c r="G160" s="14"/>
      <c r="H160" s="19">
        <v>400440</v>
      </c>
      <c r="J160" s="27">
        <f t="shared" si="11"/>
        <v>7608360</v>
      </c>
      <c r="K160" s="34">
        <v>0.01</v>
      </c>
      <c r="L160" s="27">
        <f t="shared" si="12"/>
        <v>76083.600000000006</v>
      </c>
      <c r="M160" s="6">
        <v>31373</v>
      </c>
    </row>
    <row r="161" spans="1:13" x14ac:dyDescent="0.25">
      <c r="A161" s="7" t="s">
        <v>413</v>
      </c>
      <c r="B161" s="7" t="s">
        <v>414</v>
      </c>
      <c r="C161" s="8">
        <v>7937615</v>
      </c>
      <c r="D161" s="9">
        <v>0</v>
      </c>
      <c r="F161" s="27">
        <f t="shared" si="10"/>
        <v>0</v>
      </c>
      <c r="G161" s="14"/>
      <c r="H161" s="19">
        <v>130807</v>
      </c>
      <c r="J161" s="27">
        <f t="shared" si="11"/>
        <v>7806808</v>
      </c>
      <c r="K161" s="34">
        <v>0.01</v>
      </c>
      <c r="L161" s="27">
        <f t="shared" si="12"/>
        <v>78068.08</v>
      </c>
      <c r="M161" s="6">
        <v>31374</v>
      </c>
    </row>
    <row r="162" spans="1:13" x14ac:dyDescent="0.25">
      <c r="A162" s="7" t="s">
        <v>909</v>
      </c>
      <c r="B162" s="7" t="s">
        <v>910</v>
      </c>
      <c r="C162" s="8">
        <v>7931498</v>
      </c>
      <c r="D162" s="9">
        <v>0</v>
      </c>
      <c r="F162" s="27">
        <f t="shared" si="10"/>
        <v>0</v>
      </c>
      <c r="G162" s="17">
        <v>257950</v>
      </c>
      <c r="J162" s="27">
        <f t="shared" si="11"/>
        <v>7673548</v>
      </c>
      <c r="K162" s="34">
        <v>0.01</v>
      </c>
      <c r="L162" s="27">
        <f t="shared" si="12"/>
        <v>76735.48</v>
      </c>
      <c r="M162" s="6">
        <v>31375</v>
      </c>
    </row>
    <row r="163" spans="1:13" x14ac:dyDescent="0.25">
      <c r="A163" s="7" t="s">
        <v>647</v>
      </c>
      <c r="B163" s="7" t="s">
        <v>648</v>
      </c>
      <c r="C163" s="8">
        <v>7927995.5</v>
      </c>
      <c r="D163" s="9">
        <v>253034</v>
      </c>
      <c r="E163" s="14">
        <v>253034</v>
      </c>
      <c r="F163" s="27">
        <f t="shared" si="10"/>
        <v>0</v>
      </c>
      <c r="G163" s="14"/>
      <c r="J163" s="27">
        <f t="shared" si="11"/>
        <v>7927995.5</v>
      </c>
      <c r="K163" s="34">
        <v>0.01</v>
      </c>
      <c r="L163" s="27">
        <f t="shared" si="12"/>
        <v>79279.955000000002</v>
      </c>
      <c r="M163" s="6">
        <v>31376</v>
      </c>
    </row>
    <row r="164" spans="1:13" x14ac:dyDescent="0.25">
      <c r="A164" s="7" t="s">
        <v>519</v>
      </c>
      <c r="B164" s="7" t="s">
        <v>520</v>
      </c>
      <c r="C164" s="8">
        <v>7883523</v>
      </c>
      <c r="D164" s="9">
        <v>0</v>
      </c>
      <c r="F164" s="27">
        <f t="shared" si="10"/>
        <v>0</v>
      </c>
      <c r="G164" s="14"/>
      <c r="J164" s="27">
        <f t="shared" si="11"/>
        <v>7883523</v>
      </c>
      <c r="K164" s="34">
        <v>0.01</v>
      </c>
      <c r="L164" s="27">
        <f t="shared" si="12"/>
        <v>78835.23</v>
      </c>
      <c r="M164" s="6">
        <v>31377</v>
      </c>
    </row>
    <row r="165" spans="1:13" x14ac:dyDescent="0.25">
      <c r="A165" s="7" t="s">
        <v>235</v>
      </c>
      <c r="B165" s="7" t="s">
        <v>236</v>
      </c>
      <c r="C165" s="8">
        <v>7773334</v>
      </c>
      <c r="D165" s="9">
        <v>0</v>
      </c>
      <c r="F165" s="27">
        <f t="shared" si="10"/>
        <v>0</v>
      </c>
      <c r="G165" s="14"/>
      <c r="H165" s="19">
        <v>23272</v>
      </c>
      <c r="J165" s="27">
        <f t="shared" si="11"/>
        <v>7750062</v>
      </c>
      <c r="K165" s="34">
        <v>0.01</v>
      </c>
      <c r="L165" s="27">
        <f t="shared" si="12"/>
        <v>77500.62</v>
      </c>
      <c r="M165" s="6">
        <v>31378</v>
      </c>
    </row>
    <row r="166" spans="1:13" x14ac:dyDescent="0.25">
      <c r="A166" s="7" t="s">
        <v>257</v>
      </c>
      <c r="B166" s="7" t="s">
        <v>258</v>
      </c>
      <c r="C166" s="8">
        <v>7640000</v>
      </c>
      <c r="D166" s="9">
        <v>0</v>
      </c>
      <c r="F166" s="27">
        <f t="shared" si="10"/>
        <v>0</v>
      </c>
      <c r="G166" s="14"/>
      <c r="H166" s="19">
        <v>368900</v>
      </c>
      <c r="J166" s="27">
        <f t="shared" si="11"/>
        <v>7271100</v>
      </c>
      <c r="K166" s="34">
        <v>0.01</v>
      </c>
      <c r="L166" s="27">
        <f t="shared" si="12"/>
        <v>72711</v>
      </c>
      <c r="M166" s="6">
        <v>31379</v>
      </c>
    </row>
    <row r="167" spans="1:13" x14ac:dyDescent="0.25">
      <c r="A167" s="7" t="s">
        <v>889</v>
      </c>
      <c r="B167" s="7" t="s">
        <v>890</v>
      </c>
      <c r="C167" s="8">
        <v>7631640</v>
      </c>
      <c r="D167" s="9">
        <v>0</v>
      </c>
      <c r="F167" s="27">
        <f t="shared" si="10"/>
        <v>0</v>
      </c>
      <c r="G167" s="17">
        <v>35000</v>
      </c>
      <c r="H167" s="19">
        <v>373587.6</v>
      </c>
      <c r="J167" s="27">
        <f t="shared" si="11"/>
        <v>7223052.4000000004</v>
      </c>
      <c r="K167" s="34">
        <v>0.01</v>
      </c>
      <c r="L167" s="27">
        <f t="shared" si="12"/>
        <v>72230.524000000005</v>
      </c>
      <c r="M167" s="6">
        <v>31380</v>
      </c>
    </row>
    <row r="168" spans="1:13" x14ac:dyDescent="0.25">
      <c r="A168" s="7" t="s">
        <v>959</v>
      </c>
      <c r="B168" s="7" t="s">
        <v>960</v>
      </c>
      <c r="C168" s="8">
        <v>7610469</v>
      </c>
      <c r="D168" s="9">
        <v>107353</v>
      </c>
      <c r="E168" s="14">
        <v>107353</v>
      </c>
      <c r="F168" s="27">
        <f t="shared" si="10"/>
        <v>0</v>
      </c>
      <c r="G168" s="17">
        <v>761200</v>
      </c>
      <c r="H168" s="19">
        <v>487562.59</v>
      </c>
      <c r="J168" s="27">
        <f t="shared" si="11"/>
        <v>6361706.4100000001</v>
      </c>
      <c r="K168" s="34">
        <v>0.01</v>
      </c>
      <c r="L168" s="27">
        <f t="shared" si="12"/>
        <v>63617.064100000003</v>
      </c>
      <c r="M168" s="6">
        <v>31381</v>
      </c>
    </row>
    <row r="169" spans="1:13" x14ac:dyDescent="0.25">
      <c r="A169" s="7" t="s">
        <v>535</v>
      </c>
      <c r="B169" s="7" t="s">
        <v>536</v>
      </c>
      <c r="C169" s="8">
        <v>7387004</v>
      </c>
      <c r="D169" s="9">
        <v>0</v>
      </c>
      <c r="F169" s="27">
        <f t="shared" si="10"/>
        <v>0</v>
      </c>
      <c r="G169" s="14"/>
      <c r="H169" s="19">
        <v>320168.26</v>
      </c>
      <c r="J169" s="27">
        <f t="shared" si="11"/>
        <v>7066835.7400000002</v>
      </c>
      <c r="K169" s="34">
        <v>0.01</v>
      </c>
      <c r="L169" s="27">
        <f t="shared" si="12"/>
        <v>70668.357400000008</v>
      </c>
      <c r="M169" s="6">
        <v>31382</v>
      </c>
    </row>
    <row r="170" spans="1:13" x14ac:dyDescent="0.25">
      <c r="A170" s="7" t="s">
        <v>415</v>
      </c>
      <c r="B170" s="7" t="s">
        <v>416</v>
      </c>
      <c r="C170" s="8">
        <v>7366806</v>
      </c>
      <c r="D170" s="9">
        <v>136204</v>
      </c>
      <c r="E170" s="14">
        <v>136204</v>
      </c>
      <c r="F170" s="27">
        <f t="shared" si="10"/>
        <v>0</v>
      </c>
      <c r="G170" s="17">
        <v>65200</v>
      </c>
      <c r="J170" s="27">
        <f t="shared" si="11"/>
        <v>7301606</v>
      </c>
      <c r="K170" s="34">
        <v>0.01</v>
      </c>
      <c r="L170" s="27">
        <f t="shared" si="12"/>
        <v>73016.06</v>
      </c>
      <c r="M170" s="6">
        <v>31373</v>
      </c>
    </row>
    <row r="171" spans="1:13" x14ac:dyDescent="0.25">
      <c r="A171" s="7" t="s">
        <v>1027</v>
      </c>
      <c r="B171" s="7" t="s">
        <v>1028</v>
      </c>
      <c r="C171" s="8">
        <v>7140145</v>
      </c>
      <c r="D171" s="9">
        <v>0</v>
      </c>
      <c r="F171" s="27">
        <f t="shared" si="10"/>
        <v>0</v>
      </c>
      <c r="G171" s="17">
        <v>32600</v>
      </c>
      <c r="H171" s="19">
        <v>354377.55</v>
      </c>
      <c r="J171" s="27">
        <f t="shared" si="11"/>
        <v>6753167.4500000002</v>
      </c>
      <c r="K171" s="34">
        <v>0.01</v>
      </c>
      <c r="L171" s="27">
        <f t="shared" si="12"/>
        <v>67531.674500000008</v>
      </c>
      <c r="M171" s="6">
        <v>31384</v>
      </c>
    </row>
    <row r="172" spans="1:13" x14ac:dyDescent="0.25">
      <c r="A172" s="7" t="s">
        <v>617</v>
      </c>
      <c r="B172" s="7" t="s">
        <v>618</v>
      </c>
      <c r="C172" s="8">
        <v>7105772</v>
      </c>
      <c r="D172" s="9">
        <v>112780</v>
      </c>
      <c r="E172" s="14">
        <v>112780</v>
      </c>
      <c r="F172" s="27">
        <f t="shared" si="10"/>
        <v>0</v>
      </c>
      <c r="G172" s="14"/>
      <c r="H172" s="19">
        <v>347619.51</v>
      </c>
      <c r="J172" s="27">
        <f t="shared" si="11"/>
        <v>6758152.4900000002</v>
      </c>
      <c r="K172" s="34">
        <v>0.01</v>
      </c>
      <c r="L172" s="27">
        <f t="shared" si="12"/>
        <v>67581.524900000004</v>
      </c>
      <c r="M172" s="6">
        <v>31385</v>
      </c>
    </row>
    <row r="173" spans="1:13" x14ac:dyDescent="0.25">
      <c r="A173" s="7" t="s">
        <v>633</v>
      </c>
      <c r="B173" s="7" t="s">
        <v>634</v>
      </c>
      <c r="C173" s="8">
        <v>6886700</v>
      </c>
      <c r="D173" s="9">
        <v>0</v>
      </c>
      <c r="F173" s="27">
        <f t="shared" si="10"/>
        <v>0</v>
      </c>
      <c r="G173" s="17">
        <v>44000</v>
      </c>
      <c r="H173" s="19">
        <v>317350</v>
      </c>
      <c r="J173" s="27">
        <f t="shared" si="11"/>
        <v>6525350</v>
      </c>
      <c r="K173" s="34">
        <v>0.01</v>
      </c>
      <c r="L173" s="27">
        <f t="shared" si="12"/>
        <v>65253.5</v>
      </c>
      <c r="M173" s="6">
        <v>31386</v>
      </c>
    </row>
    <row r="174" spans="1:13" x14ac:dyDescent="0.25">
      <c r="A174" s="7" t="s">
        <v>191</v>
      </c>
      <c r="B174" s="7" t="s">
        <v>192</v>
      </c>
      <c r="C174" s="8">
        <v>6829243</v>
      </c>
      <c r="D174" s="9">
        <v>2798090</v>
      </c>
      <c r="E174" s="14">
        <v>2798090</v>
      </c>
      <c r="F174" s="27">
        <f t="shared" si="10"/>
        <v>0</v>
      </c>
      <c r="G174" s="17">
        <v>132000</v>
      </c>
      <c r="H174" s="19">
        <v>1805908.12</v>
      </c>
      <c r="J174" s="27">
        <f t="shared" si="11"/>
        <v>4891334.88</v>
      </c>
      <c r="K174" s="34"/>
      <c r="L174" s="27">
        <f t="shared" si="12"/>
        <v>0</v>
      </c>
    </row>
    <row r="175" spans="1:13" x14ac:dyDescent="0.25">
      <c r="A175" s="7" t="s">
        <v>125</v>
      </c>
      <c r="B175" s="7" t="s">
        <v>126</v>
      </c>
      <c r="C175" s="8">
        <v>6791688</v>
      </c>
      <c r="D175" s="9">
        <v>0</v>
      </c>
      <c r="F175" s="27">
        <f t="shared" si="10"/>
        <v>0</v>
      </c>
      <c r="G175" s="14"/>
      <c r="H175" s="19">
        <v>1000.08</v>
      </c>
      <c r="J175" s="27">
        <f t="shared" si="11"/>
        <v>6790687.9199999999</v>
      </c>
      <c r="K175" s="34"/>
      <c r="L175" s="27">
        <f t="shared" si="12"/>
        <v>0</v>
      </c>
    </row>
    <row r="176" spans="1:13" x14ac:dyDescent="0.25">
      <c r="A176" s="7" t="s">
        <v>193</v>
      </c>
      <c r="B176" s="7" t="s">
        <v>194</v>
      </c>
      <c r="C176" s="8">
        <v>6746582</v>
      </c>
      <c r="D176" s="9">
        <v>880610</v>
      </c>
      <c r="E176" s="14">
        <v>880610</v>
      </c>
      <c r="F176" s="27">
        <f t="shared" si="10"/>
        <v>0</v>
      </c>
      <c r="G176" s="17">
        <v>227910</v>
      </c>
      <c r="J176" s="27">
        <f t="shared" si="11"/>
        <v>6518672</v>
      </c>
      <c r="K176" s="34">
        <v>0.01</v>
      </c>
      <c r="L176" s="27">
        <f t="shared" si="12"/>
        <v>65186.720000000001</v>
      </c>
      <c r="M176" s="6">
        <v>31387</v>
      </c>
    </row>
    <row r="177" spans="1:13" x14ac:dyDescent="0.25">
      <c r="A177" s="7" t="s">
        <v>979</v>
      </c>
      <c r="B177" s="7" t="s">
        <v>980</v>
      </c>
      <c r="C177" s="8">
        <v>6683745</v>
      </c>
      <c r="D177" s="9">
        <v>0</v>
      </c>
      <c r="F177" s="27">
        <f t="shared" si="10"/>
        <v>0</v>
      </c>
      <c r="G177" s="17">
        <v>304900</v>
      </c>
      <c r="H177" s="19">
        <v>160509.59</v>
      </c>
      <c r="J177" s="27">
        <f t="shared" si="11"/>
        <v>6218335.4100000001</v>
      </c>
      <c r="K177" s="34">
        <v>0.01</v>
      </c>
      <c r="L177" s="27">
        <f t="shared" si="12"/>
        <v>62183.354100000004</v>
      </c>
      <c r="M177" s="6">
        <v>31388</v>
      </c>
    </row>
    <row r="178" spans="1:13" x14ac:dyDescent="0.25">
      <c r="A178" s="7" t="s">
        <v>655</v>
      </c>
      <c r="B178" s="7" t="s">
        <v>656</v>
      </c>
      <c r="C178" s="8">
        <v>6566928</v>
      </c>
      <c r="D178" s="9">
        <v>0</v>
      </c>
      <c r="F178" s="27">
        <f t="shared" si="10"/>
        <v>0</v>
      </c>
      <c r="G178" s="14"/>
      <c r="H178" s="19">
        <v>312943.49</v>
      </c>
      <c r="J178" s="27">
        <f t="shared" si="11"/>
        <v>6253984.5099999998</v>
      </c>
      <c r="K178" s="34">
        <v>0.01</v>
      </c>
      <c r="L178" s="27">
        <f t="shared" si="12"/>
        <v>62539.845099999999</v>
      </c>
      <c r="M178" s="6">
        <v>31389</v>
      </c>
    </row>
    <row r="179" spans="1:13" x14ac:dyDescent="0.25">
      <c r="A179" s="7" t="s">
        <v>935</v>
      </c>
      <c r="B179" s="7" t="s">
        <v>936</v>
      </c>
      <c r="C179" s="8">
        <v>6461105</v>
      </c>
      <c r="D179" s="9">
        <v>279295</v>
      </c>
      <c r="E179" s="14">
        <v>279295</v>
      </c>
      <c r="F179" s="27">
        <f t="shared" si="10"/>
        <v>0</v>
      </c>
      <c r="G179" s="14"/>
      <c r="H179" s="19">
        <v>999977.63</v>
      </c>
      <c r="J179" s="27">
        <f t="shared" si="11"/>
        <v>5461127.3700000001</v>
      </c>
      <c r="K179" s="34">
        <v>0.01</v>
      </c>
      <c r="L179" s="27">
        <f t="shared" si="12"/>
        <v>54611.273700000005</v>
      </c>
      <c r="M179" s="6">
        <v>31390</v>
      </c>
    </row>
    <row r="180" spans="1:13" x14ac:dyDescent="0.25">
      <c r="A180" s="7" t="s">
        <v>807</v>
      </c>
      <c r="B180" s="7" t="s">
        <v>808</v>
      </c>
      <c r="C180" s="8">
        <v>6456250</v>
      </c>
      <c r="D180" s="9">
        <v>0</v>
      </c>
      <c r="F180" s="27">
        <f t="shared" si="10"/>
        <v>0</v>
      </c>
      <c r="G180" s="14"/>
      <c r="H180" s="19">
        <v>135582.5</v>
      </c>
      <c r="J180" s="27">
        <f t="shared" si="11"/>
        <v>6320667.5</v>
      </c>
      <c r="K180" s="34">
        <v>0.01</v>
      </c>
      <c r="L180" s="27">
        <f t="shared" si="12"/>
        <v>63206.675000000003</v>
      </c>
      <c r="M180" s="6">
        <v>31391</v>
      </c>
    </row>
    <row r="181" spans="1:13" x14ac:dyDescent="0.25">
      <c r="A181" s="7" t="s">
        <v>495</v>
      </c>
      <c r="B181" s="7" t="s">
        <v>496</v>
      </c>
      <c r="C181" s="8">
        <v>6433017</v>
      </c>
      <c r="D181" s="9">
        <v>0</v>
      </c>
      <c r="F181" s="27">
        <f t="shared" si="10"/>
        <v>0</v>
      </c>
      <c r="G181" s="14"/>
      <c r="H181" s="19">
        <v>281880.14</v>
      </c>
      <c r="J181" s="27">
        <f t="shared" si="11"/>
        <v>6151136.8600000003</v>
      </c>
      <c r="K181" s="34">
        <v>0.01</v>
      </c>
      <c r="L181" s="27">
        <f t="shared" si="12"/>
        <v>61511.368600000002</v>
      </c>
      <c r="M181" s="46" t="s">
        <v>1047</v>
      </c>
    </row>
    <row r="182" spans="1:13" x14ac:dyDescent="0.25">
      <c r="A182" s="7" t="s">
        <v>855</v>
      </c>
      <c r="B182" s="7" t="s">
        <v>856</v>
      </c>
      <c r="C182" s="8">
        <v>6416382</v>
      </c>
      <c r="D182" s="9">
        <v>0</v>
      </c>
      <c r="F182" s="27">
        <f t="shared" si="10"/>
        <v>0</v>
      </c>
      <c r="G182" s="14"/>
      <c r="H182" s="19">
        <v>271993.28000000003</v>
      </c>
      <c r="J182" s="27">
        <f t="shared" si="11"/>
        <v>6144388.7199999997</v>
      </c>
      <c r="K182" s="34">
        <v>0.01</v>
      </c>
      <c r="L182" s="27">
        <f t="shared" si="12"/>
        <v>61443.887199999997</v>
      </c>
      <c r="M182" s="6">
        <v>31393</v>
      </c>
    </row>
    <row r="183" spans="1:13" x14ac:dyDescent="0.25">
      <c r="A183" s="7" t="s">
        <v>507</v>
      </c>
      <c r="B183" s="7" t="s">
        <v>508</v>
      </c>
      <c r="C183" s="8">
        <v>6403006</v>
      </c>
      <c r="D183" s="9">
        <v>252874</v>
      </c>
      <c r="E183" s="14">
        <v>252874</v>
      </c>
      <c r="F183" s="27">
        <f t="shared" si="10"/>
        <v>0</v>
      </c>
      <c r="G183" s="17">
        <v>137650</v>
      </c>
      <c r="H183" s="19">
        <v>770120.09</v>
      </c>
      <c r="J183" s="27">
        <f t="shared" si="11"/>
        <v>5495235.9100000001</v>
      </c>
      <c r="K183" s="34">
        <v>0.01</v>
      </c>
      <c r="L183" s="27">
        <f t="shared" si="12"/>
        <v>54952.359100000001</v>
      </c>
      <c r="M183" s="6">
        <v>31394</v>
      </c>
    </row>
    <row r="184" spans="1:13" x14ac:dyDescent="0.25">
      <c r="A184" s="7" t="s">
        <v>947</v>
      </c>
      <c r="B184" s="7" t="s">
        <v>948</v>
      </c>
      <c r="C184" s="8">
        <v>6402802.2000000002</v>
      </c>
      <c r="D184" s="9">
        <v>0</v>
      </c>
      <c r="F184" s="27">
        <f t="shared" si="10"/>
        <v>0</v>
      </c>
      <c r="G184" s="14"/>
      <c r="H184" s="19">
        <v>194394.12</v>
      </c>
      <c r="J184" s="27">
        <f t="shared" si="11"/>
        <v>6208408.0800000001</v>
      </c>
      <c r="K184" s="34">
        <v>0.01</v>
      </c>
      <c r="L184" s="27">
        <f t="shared" si="12"/>
        <v>62084.080800000003</v>
      </c>
      <c r="M184" s="6">
        <v>31395</v>
      </c>
    </row>
    <row r="185" spans="1:13" x14ac:dyDescent="0.25">
      <c r="A185" s="7" t="s">
        <v>589</v>
      </c>
      <c r="B185" s="7" t="s">
        <v>590</v>
      </c>
      <c r="C185" s="8">
        <v>6214579</v>
      </c>
      <c r="D185" s="9">
        <v>0</v>
      </c>
      <c r="F185" s="27">
        <f t="shared" si="10"/>
        <v>0</v>
      </c>
      <c r="G185" s="14"/>
      <c r="H185" s="19">
        <v>283854</v>
      </c>
      <c r="J185" s="27">
        <f t="shared" si="11"/>
        <v>5930725</v>
      </c>
      <c r="K185" s="34">
        <v>0.01</v>
      </c>
      <c r="L185" s="27">
        <f t="shared" si="12"/>
        <v>59307.25</v>
      </c>
      <c r="M185" s="6">
        <v>31396</v>
      </c>
    </row>
    <row r="186" spans="1:13" x14ac:dyDescent="0.25">
      <c r="A186" s="7" t="s">
        <v>933</v>
      </c>
      <c r="B186" s="7" t="s">
        <v>934</v>
      </c>
      <c r="C186" s="8">
        <v>6158160</v>
      </c>
      <c r="D186" s="9">
        <v>2850</v>
      </c>
      <c r="F186" s="27">
        <f t="shared" si="10"/>
        <v>2850</v>
      </c>
      <c r="G186" s="14"/>
      <c r="H186" s="19">
        <v>246782.82</v>
      </c>
      <c r="J186" s="27">
        <f t="shared" si="11"/>
        <v>5908527.1799999997</v>
      </c>
      <c r="K186" s="34">
        <v>0.01</v>
      </c>
      <c r="L186" s="27">
        <f t="shared" si="12"/>
        <v>59085.271799999995</v>
      </c>
      <c r="M186" s="6">
        <v>31397</v>
      </c>
    </row>
    <row r="187" spans="1:13" x14ac:dyDescent="0.25">
      <c r="A187" s="7" t="s">
        <v>121</v>
      </c>
      <c r="B187" s="7" t="s">
        <v>122</v>
      </c>
      <c r="C187" s="8">
        <v>5799991</v>
      </c>
      <c r="D187" s="9">
        <v>0</v>
      </c>
      <c r="F187" s="27">
        <f t="shared" si="10"/>
        <v>0</v>
      </c>
      <c r="G187" s="17">
        <v>94000</v>
      </c>
      <c r="H187" s="19">
        <v>222763.29</v>
      </c>
      <c r="J187" s="27">
        <f t="shared" si="11"/>
        <v>5483227.71</v>
      </c>
      <c r="K187" s="34">
        <v>0.01</v>
      </c>
      <c r="L187" s="27">
        <f t="shared" si="12"/>
        <v>54832.277099999999</v>
      </c>
      <c r="M187" s="6">
        <v>31398</v>
      </c>
    </row>
    <row r="188" spans="1:13" x14ac:dyDescent="0.25">
      <c r="A188" s="7" t="s">
        <v>1001</v>
      </c>
      <c r="B188" s="7" t="s">
        <v>1002</v>
      </c>
      <c r="C188" s="8">
        <v>5707600</v>
      </c>
      <c r="D188" s="9">
        <v>0</v>
      </c>
      <c r="F188" s="27">
        <f t="shared" si="10"/>
        <v>0</v>
      </c>
      <c r="G188" s="14"/>
      <c r="J188" s="27">
        <f t="shared" si="11"/>
        <v>5707600</v>
      </c>
      <c r="K188" s="34">
        <v>0.01</v>
      </c>
      <c r="L188" s="27">
        <f t="shared" si="12"/>
        <v>57076</v>
      </c>
    </row>
    <row r="189" spans="1:13" x14ac:dyDescent="0.25">
      <c r="A189" s="7" t="s">
        <v>755</v>
      </c>
      <c r="B189" s="7" t="s">
        <v>756</v>
      </c>
      <c r="C189" s="8">
        <v>5674131</v>
      </c>
      <c r="D189" s="9">
        <v>0</v>
      </c>
      <c r="F189" s="27">
        <f t="shared" si="10"/>
        <v>0</v>
      </c>
      <c r="G189" s="14"/>
      <c r="H189" s="19">
        <v>176453.29</v>
      </c>
      <c r="J189" s="27">
        <f t="shared" si="11"/>
        <v>5497677.71</v>
      </c>
      <c r="K189" s="34">
        <v>0.01</v>
      </c>
      <c r="L189" s="27">
        <f t="shared" si="12"/>
        <v>54976.777099999999</v>
      </c>
      <c r="M189" s="6">
        <v>31399</v>
      </c>
    </row>
    <row r="190" spans="1:13" x14ac:dyDescent="0.25">
      <c r="A190" s="7" t="s">
        <v>41</v>
      </c>
      <c r="B190" s="7" t="s">
        <v>42</v>
      </c>
      <c r="C190" s="8">
        <v>5442428</v>
      </c>
      <c r="D190" s="9">
        <v>0</v>
      </c>
      <c r="F190" s="27">
        <f t="shared" si="10"/>
        <v>0</v>
      </c>
      <c r="G190" s="14"/>
      <c r="H190" s="19">
        <v>135592.5</v>
      </c>
      <c r="J190" s="27">
        <f t="shared" si="11"/>
        <v>5306835.5</v>
      </c>
      <c r="K190" s="34">
        <v>0.01</v>
      </c>
      <c r="L190" s="27">
        <f t="shared" si="12"/>
        <v>53068.355000000003</v>
      </c>
      <c r="M190" s="6">
        <v>31400</v>
      </c>
    </row>
    <row r="191" spans="1:13" x14ac:dyDescent="0.25">
      <c r="A191" s="7" t="s">
        <v>355</v>
      </c>
      <c r="B191" s="7" t="s">
        <v>356</v>
      </c>
      <c r="C191" s="8">
        <v>5397641</v>
      </c>
      <c r="D191" s="9">
        <v>282744</v>
      </c>
      <c r="F191" s="27">
        <f t="shared" si="10"/>
        <v>282744</v>
      </c>
      <c r="G191" s="14"/>
      <c r="H191" s="19">
        <v>170058.43</v>
      </c>
      <c r="J191" s="27">
        <f t="shared" si="11"/>
        <v>4944838.57</v>
      </c>
      <c r="K191" s="34"/>
      <c r="L191" s="27">
        <f t="shared" si="12"/>
        <v>0</v>
      </c>
    </row>
    <row r="192" spans="1:13" x14ac:dyDescent="0.25">
      <c r="A192" s="7" t="s">
        <v>551</v>
      </c>
      <c r="B192" s="7" t="s">
        <v>552</v>
      </c>
      <c r="C192" s="8">
        <v>5363275</v>
      </c>
      <c r="D192" s="9">
        <v>0</v>
      </c>
      <c r="F192" s="27">
        <f t="shared" si="10"/>
        <v>0</v>
      </c>
      <c r="G192" s="14"/>
      <c r="H192" s="19">
        <v>256974.73</v>
      </c>
      <c r="J192" s="27">
        <f t="shared" si="11"/>
        <v>5106300.2699999996</v>
      </c>
      <c r="K192" s="34">
        <v>0.01</v>
      </c>
      <c r="L192" s="27">
        <f t="shared" si="12"/>
        <v>51063.002699999997</v>
      </c>
      <c r="M192" s="6">
        <v>31401</v>
      </c>
    </row>
    <row r="193" spans="1:15" x14ac:dyDescent="0.25">
      <c r="A193" s="7" t="s">
        <v>811</v>
      </c>
      <c r="B193" s="7" t="s">
        <v>812</v>
      </c>
      <c r="C193" s="8">
        <v>5313764</v>
      </c>
      <c r="D193" s="9">
        <v>0</v>
      </c>
      <c r="F193" s="27">
        <f t="shared" si="10"/>
        <v>0</v>
      </c>
      <c r="G193" s="14"/>
      <c r="H193" s="19">
        <v>262297.86</v>
      </c>
      <c r="J193" s="27">
        <f t="shared" si="11"/>
        <v>5051466.1399999997</v>
      </c>
      <c r="K193" s="34">
        <v>0.01</v>
      </c>
      <c r="L193" s="27">
        <f t="shared" si="12"/>
        <v>50514.661399999997</v>
      </c>
      <c r="M193" s="6">
        <v>31402</v>
      </c>
    </row>
    <row r="194" spans="1:15" x14ac:dyDescent="0.25">
      <c r="A194" s="7" t="s">
        <v>59</v>
      </c>
      <c r="B194" s="7" t="s">
        <v>60</v>
      </c>
      <c r="C194" s="8">
        <v>5311294</v>
      </c>
      <c r="D194" s="9">
        <v>101945</v>
      </c>
      <c r="F194" s="27">
        <f t="shared" si="10"/>
        <v>101945</v>
      </c>
      <c r="G194" s="17">
        <v>130815</v>
      </c>
      <c r="H194" s="19">
        <v>180209.52</v>
      </c>
      <c r="J194" s="27">
        <f t="shared" si="11"/>
        <v>4898324.4800000004</v>
      </c>
      <c r="K194" s="34"/>
      <c r="L194" s="27">
        <f t="shared" si="12"/>
        <v>0</v>
      </c>
    </row>
    <row r="195" spans="1:15" x14ac:dyDescent="0.25">
      <c r="A195" s="7" t="s">
        <v>723</v>
      </c>
      <c r="B195" s="7" t="s">
        <v>724</v>
      </c>
      <c r="C195" s="8">
        <v>5181364</v>
      </c>
      <c r="D195" s="9">
        <v>0</v>
      </c>
      <c r="F195" s="27">
        <f t="shared" si="10"/>
        <v>0</v>
      </c>
      <c r="G195" s="14"/>
      <c r="J195" s="27">
        <f t="shared" si="11"/>
        <v>5181364</v>
      </c>
      <c r="K195" s="34"/>
      <c r="L195" s="27">
        <f t="shared" si="12"/>
        <v>0</v>
      </c>
    </row>
    <row r="196" spans="1:15" x14ac:dyDescent="0.25">
      <c r="A196" s="7" t="s">
        <v>133</v>
      </c>
      <c r="B196" s="7" t="s">
        <v>134</v>
      </c>
      <c r="C196" s="8">
        <v>5129742</v>
      </c>
      <c r="D196" s="9">
        <v>0</v>
      </c>
      <c r="F196" s="27">
        <f t="shared" ref="F196:F198" si="14">D196-E196</f>
        <v>0</v>
      </c>
      <c r="G196" s="14"/>
      <c r="H196" s="19">
        <v>255690</v>
      </c>
      <c r="J196" s="27">
        <f t="shared" ref="J196:J198" si="15">C196-F196-G196-H196-I196</f>
        <v>4874052</v>
      </c>
      <c r="K196" s="34"/>
      <c r="L196" s="27">
        <f t="shared" ref="L196:L198" si="16">J196*K196</f>
        <v>0</v>
      </c>
    </row>
    <row r="197" spans="1:15" x14ac:dyDescent="0.25">
      <c r="A197" s="7" t="s">
        <v>877</v>
      </c>
      <c r="B197" s="7" t="s">
        <v>878</v>
      </c>
      <c r="C197" s="8">
        <v>5129395</v>
      </c>
      <c r="D197" s="9">
        <v>0</v>
      </c>
      <c r="F197" s="27">
        <f t="shared" si="14"/>
        <v>0</v>
      </c>
      <c r="G197" s="14"/>
      <c r="J197" s="27">
        <f t="shared" si="15"/>
        <v>5129395</v>
      </c>
      <c r="K197" s="34">
        <v>0.01</v>
      </c>
      <c r="L197" s="27">
        <f t="shared" si="16"/>
        <v>51293.950000000004</v>
      </c>
      <c r="M197" s="6">
        <v>31403</v>
      </c>
    </row>
    <row r="198" spans="1:15" x14ac:dyDescent="0.25">
      <c r="A198" s="7" t="s">
        <v>973</v>
      </c>
      <c r="B198" s="7" t="s">
        <v>974</v>
      </c>
      <c r="C198" s="8">
        <v>5023582</v>
      </c>
      <c r="D198" s="9">
        <v>0</v>
      </c>
      <c r="F198" s="27">
        <f t="shared" si="14"/>
        <v>0</v>
      </c>
      <c r="G198" s="14"/>
      <c r="H198" s="19">
        <v>193923.34</v>
      </c>
      <c r="J198" s="27">
        <f t="shared" si="15"/>
        <v>4829658.66</v>
      </c>
      <c r="K198" s="34"/>
      <c r="L198" s="27">
        <f t="shared" si="16"/>
        <v>0</v>
      </c>
    </row>
    <row r="200" spans="1:15" x14ac:dyDescent="0.25">
      <c r="J200" s="27">
        <f>SUM(J2:J199)</f>
        <v>7753879071.4800043</v>
      </c>
      <c r="L200" s="41">
        <f>SUM(L2:L199)</f>
        <v>265226206.22690001</v>
      </c>
      <c r="N200" s="44">
        <f>SUM(N2:N197)</f>
        <v>50889010.085130014</v>
      </c>
      <c r="O200" s="44"/>
    </row>
  </sheetData>
  <autoFilter ref="A1:N198">
    <sortState ref="A2:N508">
      <sortCondition descending="1" ref="C1:C508"/>
    </sortState>
  </autoFilter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workbookViewId="0">
      <selection activeCell="P35" sqref="P35"/>
    </sheetView>
  </sheetViews>
  <sheetFormatPr baseColWidth="10" defaultRowHeight="13.5" x14ac:dyDescent="0.25"/>
  <cols>
    <col min="2" max="2" width="36.5" bestFit="1" customWidth="1"/>
    <col min="3" max="3" width="20" hidden="1" customWidth="1"/>
    <col min="4" max="4" width="12.875" hidden="1" customWidth="1"/>
    <col min="5" max="5" width="16" hidden="1" customWidth="1"/>
    <col min="6" max="6" width="18" hidden="1" customWidth="1"/>
    <col min="7" max="7" width="11.875" hidden="1" customWidth="1"/>
    <col min="8" max="9" width="12.875" hidden="1" customWidth="1"/>
    <col min="10" max="10" width="17" hidden="1" customWidth="1"/>
    <col min="11" max="11" width="0" hidden="1" customWidth="1"/>
    <col min="12" max="12" width="12.875" bestFit="1" customWidth="1"/>
  </cols>
  <sheetData>
    <row r="1" spans="1:12" x14ac:dyDescent="0.25">
      <c r="A1" s="21" t="s">
        <v>7</v>
      </c>
      <c r="B1" s="21" t="s">
        <v>8</v>
      </c>
      <c r="C1" s="22" t="s">
        <v>1039</v>
      </c>
      <c r="D1" s="22" t="s">
        <v>1029</v>
      </c>
      <c r="E1" s="22" t="s">
        <v>1038</v>
      </c>
      <c r="F1" s="23" t="s">
        <v>1030</v>
      </c>
      <c r="G1" s="24" t="s">
        <v>1031</v>
      </c>
      <c r="H1" s="25" t="s">
        <v>1032</v>
      </c>
      <c r="I1" s="23" t="s">
        <v>1033</v>
      </c>
      <c r="J1" s="23" t="s">
        <v>1034</v>
      </c>
      <c r="K1" s="23" t="s">
        <v>1035</v>
      </c>
      <c r="L1" s="23" t="s">
        <v>1036</v>
      </c>
    </row>
    <row r="2" spans="1:12" x14ac:dyDescent="0.25">
      <c r="A2" s="7" t="s">
        <v>239</v>
      </c>
      <c r="B2" s="7" t="s">
        <v>240</v>
      </c>
      <c r="C2" s="8">
        <v>441922826</v>
      </c>
      <c r="D2" s="9">
        <v>7949260</v>
      </c>
      <c r="E2" s="14">
        <v>7920916</v>
      </c>
      <c r="F2" s="27">
        <f>D2-E2</f>
        <v>28344</v>
      </c>
      <c r="G2" s="17">
        <v>115200</v>
      </c>
      <c r="H2" s="19">
        <v>24847794.149999999</v>
      </c>
      <c r="I2" s="19">
        <v>7000000</v>
      </c>
      <c r="J2" s="27">
        <f>C2-F2-G2-H2-I2</f>
        <v>409931487.85000002</v>
      </c>
      <c r="K2" s="34">
        <v>0.06</v>
      </c>
      <c r="L2" s="27">
        <f>J2*K2</f>
        <v>24595889.271000002</v>
      </c>
    </row>
    <row r="3" spans="1:12" x14ac:dyDescent="0.25">
      <c r="A3" s="7" t="s">
        <v>201</v>
      </c>
      <c r="B3" s="7" t="s">
        <v>202</v>
      </c>
      <c r="C3" s="8">
        <v>400195434.55000001</v>
      </c>
      <c r="D3" s="9">
        <v>43241437</v>
      </c>
      <c r="E3" s="14">
        <v>14765131</v>
      </c>
      <c r="F3" s="27">
        <f t="shared" ref="F3:F66" si="0">D3-E3</f>
        <v>28476306</v>
      </c>
      <c r="G3" s="17">
        <v>1280690</v>
      </c>
      <c r="H3" s="19">
        <v>9534856.0199999996</v>
      </c>
      <c r="I3" s="6"/>
      <c r="J3" s="27">
        <f t="shared" ref="J3:J66" si="1">C3-F3-G3-H3-I3</f>
        <v>360903582.53000003</v>
      </c>
      <c r="K3" s="34">
        <v>0.06</v>
      </c>
      <c r="L3" s="27">
        <f t="shared" ref="L3:L66" si="2">J3*K3</f>
        <v>21654214.9518</v>
      </c>
    </row>
    <row r="4" spans="1:12" x14ac:dyDescent="0.25">
      <c r="A4" s="7" t="s">
        <v>817</v>
      </c>
      <c r="B4" s="7" t="s">
        <v>818</v>
      </c>
      <c r="C4" s="8">
        <v>215572134</v>
      </c>
      <c r="D4" s="9">
        <v>22502652</v>
      </c>
      <c r="E4" s="14">
        <v>14422490</v>
      </c>
      <c r="F4" s="27">
        <f t="shared" si="0"/>
        <v>8080162</v>
      </c>
      <c r="G4" s="17">
        <v>308366</v>
      </c>
      <c r="H4" s="19">
        <v>4623373.1900000004</v>
      </c>
      <c r="I4" s="6"/>
      <c r="J4" s="27">
        <f t="shared" si="1"/>
        <v>202560232.81</v>
      </c>
      <c r="K4" s="34">
        <v>0.06</v>
      </c>
      <c r="L4" s="27">
        <f t="shared" si="2"/>
        <v>12153613.968599999</v>
      </c>
    </row>
    <row r="5" spans="1:12" x14ac:dyDescent="0.25">
      <c r="A5" s="7" t="s">
        <v>297</v>
      </c>
      <c r="B5" s="7" t="s">
        <v>298</v>
      </c>
      <c r="C5" s="8">
        <v>206962625.19999999</v>
      </c>
      <c r="D5" s="9">
        <v>921783</v>
      </c>
      <c r="E5" s="14">
        <v>776148</v>
      </c>
      <c r="F5" s="27">
        <f t="shared" si="0"/>
        <v>145635</v>
      </c>
      <c r="G5" s="14"/>
      <c r="H5" s="19">
        <v>5880050</v>
      </c>
      <c r="I5" s="6"/>
      <c r="J5" s="27">
        <f t="shared" si="1"/>
        <v>200936940.19999999</v>
      </c>
      <c r="K5" s="34">
        <v>0.06</v>
      </c>
      <c r="L5" s="27">
        <f t="shared" si="2"/>
        <v>12056216.411999999</v>
      </c>
    </row>
    <row r="6" spans="1:12" x14ac:dyDescent="0.25">
      <c r="A6" s="7" t="s">
        <v>463</v>
      </c>
      <c r="B6" s="7" t="s">
        <v>464</v>
      </c>
      <c r="C6" s="8">
        <v>205210850</v>
      </c>
      <c r="D6" s="9">
        <v>18691098</v>
      </c>
      <c r="E6" s="14">
        <v>5704757</v>
      </c>
      <c r="F6" s="27">
        <f t="shared" si="0"/>
        <v>12986341</v>
      </c>
      <c r="G6" s="17">
        <v>3700400</v>
      </c>
      <c r="H6" s="19">
        <v>5821456.21</v>
      </c>
      <c r="I6" s="6"/>
      <c r="J6" s="27">
        <f t="shared" si="1"/>
        <v>182702652.78999999</v>
      </c>
      <c r="K6" s="34">
        <v>0.05</v>
      </c>
      <c r="L6" s="27">
        <f t="shared" si="2"/>
        <v>9135132.6394999996</v>
      </c>
    </row>
    <row r="7" spans="1:12" x14ac:dyDescent="0.25">
      <c r="A7" s="7" t="s">
        <v>707</v>
      </c>
      <c r="B7" s="7" t="s">
        <v>708</v>
      </c>
      <c r="C7" s="8">
        <v>173539294.5</v>
      </c>
      <c r="D7" s="9">
        <v>5783543</v>
      </c>
      <c r="E7" s="14">
        <v>2980371</v>
      </c>
      <c r="F7" s="27">
        <f t="shared" si="0"/>
        <v>2803172</v>
      </c>
      <c r="G7" s="14"/>
      <c r="H7" s="19">
        <v>3417547.08</v>
      </c>
      <c r="I7" s="6"/>
      <c r="J7" s="27">
        <f t="shared" si="1"/>
        <v>167318575.41999999</v>
      </c>
      <c r="K7" s="34">
        <v>0.05</v>
      </c>
      <c r="L7" s="27">
        <f t="shared" si="2"/>
        <v>8365928.7709999997</v>
      </c>
    </row>
    <row r="8" spans="1:12" x14ac:dyDescent="0.25">
      <c r="A8" s="7" t="s">
        <v>503</v>
      </c>
      <c r="B8" s="7" t="s">
        <v>504</v>
      </c>
      <c r="C8" s="8">
        <v>163711180</v>
      </c>
      <c r="D8" s="9">
        <v>17266138</v>
      </c>
      <c r="E8" s="14"/>
      <c r="F8" s="27">
        <f t="shared" si="0"/>
        <v>17266138</v>
      </c>
      <c r="G8" s="17">
        <v>54900</v>
      </c>
      <c r="H8" s="19">
        <v>1369207</v>
      </c>
      <c r="I8" s="6"/>
      <c r="J8" s="27">
        <f t="shared" si="1"/>
        <v>145020935</v>
      </c>
      <c r="K8" s="34">
        <v>0.04</v>
      </c>
      <c r="L8" s="27">
        <f t="shared" si="2"/>
        <v>5800837.4000000004</v>
      </c>
    </row>
    <row r="9" spans="1:12" x14ac:dyDescent="0.25">
      <c r="A9" s="7" t="s">
        <v>639</v>
      </c>
      <c r="B9" s="7" t="s">
        <v>640</v>
      </c>
      <c r="C9" s="8">
        <v>162807159.08000001</v>
      </c>
      <c r="D9" s="9">
        <v>16315008</v>
      </c>
      <c r="E9" s="14">
        <v>6514746</v>
      </c>
      <c r="F9" s="27">
        <f t="shared" si="0"/>
        <v>9800262</v>
      </c>
      <c r="G9" s="14"/>
      <c r="H9" s="19">
        <v>4808352.3600000003</v>
      </c>
      <c r="I9" s="6"/>
      <c r="J9" s="27">
        <f t="shared" si="1"/>
        <v>148198544.72</v>
      </c>
      <c r="K9" s="34">
        <v>0.04</v>
      </c>
      <c r="L9" s="27">
        <f t="shared" si="2"/>
        <v>5927941.7888000002</v>
      </c>
    </row>
    <row r="10" spans="1:12" x14ac:dyDescent="0.25">
      <c r="A10" s="7" t="s">
        <v>197</v>
      </c>
      <c r="B10" s="7" t="s">
        <v>198</v>
      </c>
      <c r="C10" s="8">
        <v>156269255</v>
      </c>
      <c r="D10" s="9">
        <v>16712844</v>
      </c>
      <c r="E10" s="14">
        <v>3379225</v>
      </c>
      <c r="F10" s="27">
        <f t="shared" si="0"/>
        <v>13333619</v>
      </c>
      <c r="G10" s="17">
        <v>382086</v>
      </c>
      <c r="H10" s="20"/>
      <c r="I10" s="6"/>
      <c r="J10" s="27">
        <f t="shared" si="1"/>
        <v>142553550</v>
      </c>
      <c r="K10" s="34">
        <v>0.04</v>
      </c>
      <c r="L10" s="27">
        <f t="shared" si="2"/>
        <v>5702142</v>
      </c>
    </row>
    <row r="11" spans="1:12" x14ac:dyDescent="0.25">
      <c r="A11" s="7" t="s">
        <v>291</v>
      </c>
      <c r="B11" s="7" t="s">
        <v>292</v>
      </c>
      <c r="C11" s="8">
        <v>155971577</v>
      </c>
      <c r="D11" s="9">
        <v>12130638</v>
      </c>
      <c r="E11" s="14">
        <v>7107476</v>
      </c>
      <c r="F11" s="27">
        <f t="shared" si="0"/>
        <v>5023162</v>
      </c>
      <c r="G11" s="17">
        <v>32600</v>
      </c>
      <c r="H11" s="19">
        <v>7787045.5199999996</v>
      </c>
      <c r="I11" s="6"/>
      <c r="J11" s="27">
        <f t="shared" si="1"/>
        <v>143128769.47999999</v>
      </c>
      <c r="K11" s="34">
        <v>0.04</v>
      </c>
      <c r="L11" s="27">
        <f t="shared" si="2"/>
        <v>5725150.7791999998</v>
      </c>
    </row>
    <row r="12" spans="1:12" x14ac:dyDescent="0.25">
      <c r="A12" s="7" t="s">
        <v>267</v>
      </c>
      <c r="B12" s="7" t="s">
        <v>268</v>
      </c>
      <c r="C12" s="8">
        <v>150635849</v>
      </c>
      <c r="D12" s="9">
        <v>46589385</v>
      </c>
      <c r="E12" s="14">
        <v>2026916</v>
      </c>
      <c r="F12" s="27">
        <f t="shared" si="0"/>
        <v>44562469</v>
      </c>
      <c r="G12" s="17">
        <v>118550</v>
      </c>
      <c r="H12" s="20"/>
      <c r="I12" s="6"/>
      <c r="J12" s="27">
        <f t="shared" si="1"/>
        <v>105954830</v>
      </c>
      <c r="K12" s="34">
        <v>0.04</v>
      </c>
      <c r="L12" s="27">
        <f t="shared" si="2"/>
        <v>4238193.2</v>
      </c>
    </row>
    <row r="13" spans="1:12" x14ac:dyDescent="0.25">
      <c r="A13" s="7" t="s">
        <v>919</v>
      </c>
      <c r="B13" s="7" t="s">
        <v>920</v>
      </c>
      <c r="C13" s="8">
        <v>144429382</v>
      </c>
      <c r="D13" s="9">
        <v>2278757</v>
      </c>
      <c r="E13" s="14">
        <v>1632612</v>
      </c>
      <c r="F13" s="27">
        <f t="shared" si="0"/>
        <v>646145</v>
      </c>
      <c r="G13" s="14"/>
      <c r="H13" s="19">
        <v>8183438.9699999997</v>
      </c>
      <c r="I13" s="6"/>
      <c r="J13" s="27">
        <f t="shared" si="1"/>
        <v>135599798.03</v>
      </c>
      <c r="K13" s="34">
        <v>0.04</v>
      </c>
      <c r="L13" s="27">
        <f t="shared" si="2"/>
        <v>5423991.9211999997</v>
      </c>
    </row>
    <row r="14" spans="1:12" x14ac:dyDescent="0.25">
      <c r="A14" s="7" t="s">
        <v>171</v>
      </c>
      <c r="B14" s="7" t="s">
        <v>172</v>
      </c>
      <c r="C14" s="8">
        <v>141928042</v>
      </c>
      <c r="D14" s="9">
        <v>3532454</v>
      </c>
      <c r="E14" s="14">
        <v>3484454</v>
      </c>
      <c r="F14" s="27">
        <f t="shared" si="0"/>
        <v>48000</v>
      </c>
      <c r="G14" s="17">
        <v>888707</v>
      </c>
      <c r="H14" s="20"/>
      <c r="I14" s="6"/>
      <c r="J14" s="27">
        <f t="shared" si="1"/>
        <v>140991335</v>
      </c>
      <c r="K14" s="34">
        <v>0.04</v>
      </c>
      <c r="L14" s="27">
        <f t="shared" si="2"/>
        <v>5639653.4000000004</v>
      </c>
    </row>
    <row r="15" spans="1:12" x14ac:dyDescent="0.25">
      <c r="A15" s="7" t="s">
        <v>311</v>
      </c>
      <c r="B15" s="7" t="s">
        <v>312</v>
      </c>
      <c r="C15" s="8">
        <v>138964661</v>
      </c>
      <c r="D15" s="9">
        <v>1782743</v>
      </c>
      <c r="E15" s="14">
        <v>1782743</v>
      </c>
      <c r="F15" s="27">
        <f t="shared" si="0"/>
        <v>0</v>
      </c>
      <c r="G15" s="14"/>
      <c r="H15" s="20"/>
      <c r="I15" s="6"/>
      <c r="J15" s="27">
        <f t="shared" si="1"/>
        <v>138964661</v>
      </c>
      <c r="K15" s="34">
        <v>0.04</v>
      </c>
      <c r="L15" s="27">
        <f t="shared" si="2"/>
        <v>5558586.4400000004</v>
      </c>
    </row>
    <row r="16" spans="1:12" x14ac:dyDescent="0.25">
      <c r="A16" s="7" t="s">
        <v>167</v>
      </c>
      <c r="B16" s="7" t="s">
        <v>168</v>
      </c>
      <c r="C16" s="8">
        <v>137002220</v>
      </c>
      <c r="D16" s="9">
        <v>3409486</v>
      </c>
      <c r="E16" s="14">
        <v>441828</v>
      </c>
      <c r="F16" s="27">
        <f t="shared" si="0"/>
        <v>2967658</v>
      </c>
      <c r="G16" s="14"/>
      <c r="H16" s="19">
        <v>5515241.4400000004</v>
      </c>
      <c r="I16" s="6"/>
      <c r="J16" s="27">
        <f t="shared" si="1"/>
        <v>128519320.56</v>
      </c>
      <c r="K16" s="34">
        <v>0.04</v>
      </c>
      <c r="L16" s="27">
        <f t="shared" si="2"/>
        <v>5140772.8223999999</v>
      </c>
    </row>
    <row r="17" spans="1:12" x14ac:dyDescent="0.25">
      <c r="A17" s="7" t="s">
        <v>717</v>
      </c>
      <c r="B17" s="7" t="s">
        <v>718</v>
      </c>
      <c r="C17" s="8">
        <v>125789978</v>
      </c>
      <c r="D17" s="9">
        <v>11333041</v>
      </c>
      <c r="E17" s="14">
        <v>2692915</v>
      </c>
      <c r="F17" s="27">
        <f t="shared" si="0"/>
        <v>8640126</v>
      </c>
      <c r="G17" s="14"/>
      <c r="H17" s="19">
        <v>5341566.67</v>
      </c>
      <c r="I17" s="6"/>
      <c r="J17" s="27">
        <f t="shared" si="1"/>
        <v>111808285.33</v>
      </c>
      <c r="K17" s="34">
        <v>0.04</v>
      </c>
      <c r="L17" s="27">
        <f t="shared" si="2"/>
        <v>4472331.4132000003</v>
      </c>
    </row>
    <row r="18" spans="1:12" x14ac:dyDescent="0.25">
      <c r="A18" s="7" t="s">
        <v>255</v>
      </c>
      <c r="B18" s="7" t="s">
        <v>256</v>
      </c>
      <c r="C18" s="8">
        <v>120069120</v>
      </c>
      <c r="D18" s="9">
        <v>3549800</v>
      </c>
      <c r="E18" s="14">
        <v>900676</v>
      </c>
      <c r="F18" s="27">
        <f t="shared" si="0"/>
        <v>2649124</v>
      </c>
      <c r="G18" s="14"/>
      <c r="H18" s="19">
        <v>2775349.85</v>
      </c>
      <c r="I18" s="6"/>
      <c r="J18" s="27">
        <f t="shared" si="1"/>
        <v>114644646.15000001</v>
      </c>
      <c r="K18" s="34">
        <v>0.04</v>
      </c>
      <c r="L18" s="27">
        <f t="shared" si="2"/>
        <v>4585785.8459999999</v>
      </c>
    </row>
    <row r="19" spans="1:12" x14ac:dyDescent="0.25">
      <c r="A19" s="7" t="s">
        <v>607</v>
      </c>
      <c r="B19" s="7" t="s">
        <v>608</v>
      </c>
      <c r="C19" s="8">
        <v>118096786</v>
      </c>
      <c r="D19" s="9">
        <v>4297947</v>
      </c>
      <c r="E19" s="14">
        <v>3159803</v>
      </c>
      <c r="F19" s="27">
        <f t="shared" si="0"/>
        <v>1138144</v>
      </c>
      <c r="G19" s="14"/>
      <c r="H19" s="19">
        <v>4319906.83</v>
      </c>
      <c r="I19" s="6"/>
      <c r="J19" s="27">
        <f t="shared" si="1"/>
        <v>112638735.17</v>
      </c>
      <c r="K19" s="34">
        <v>0.04</v>
      </c>
      <c r="L19" s="27">
        <f t="shared" si="2"/>
        <v>4505549.4068</v>
      </c>
    </row>
    <row r="20" spans="1:12" x14ac:dyDescent="0.25">
      <c r="A20" s="7" t="s">
        <v>853</v>
      </c>
      <c r="B20" s="7" t="s">
        <v>854</v>
      </c>
      <c r="C20" s="8">
        <v>114214680</v>
      </c>
      <c r="D20" s="9">
        <v>4090153</v>
      </c>
      <c r="E20" s="14">
        <v>4090153</v>
      </c>
      <c r="F20" s="27">
        <f t="shared" si="0"/>
        <v>0</v>
      </c>
      <c r="G20" s="14"/>
      <c r="H20" s="19">
        <v>8548033.3499999996</v>
      </c>
      <c r="I20" s="6"/>
      <c r="J20" s="27">
        <f t="shared" si="1"/>
        <v>105666646.65000001</v>
      </c>
      <c r="K20" s="34">
        <v>0.04</v>
      </c>
      <c r="L20" s="27">
        <f t="shared" si="2"/>
        <v>4226665.8660000004</v>
      </c>
    </row>
    <row r="21" spans="1:12" x14ac:dyDescent="0.25">
      <c r="A21" s="7" t="s">
        <v>841</v>
      </c>
      <c r="B21" s="7" t="s">
        <v>842</v>
      </c>
      <c r="C21" s="8">
        <v>109883827</v>
      </c>
      <c r="D21" s="9">
        <v>4579604</v>
      </c>
      <c r="E21" s="14">
        <v>3249178</v>
      </c>
      <c r="F21" s="27">
        <f t="shared" si="0"/>
        <v>1330426</v>
      </c>
      <c r="G21" s="17">
        <v>320920</v>
      </c>
      <c r="H21" s="19">
        <v>2727612.68</v>
      </c>
      <c r="I21" s="19">
        <v>51456780</v>
      </c>
      <c r="J21" s="27">
        <f t="shared" si="1"/>
        <v>54048088.319999993</v>
      </c>
      <c r="K21" s="34">
        <v>0.03</v>
      </c>
      <c r="L21" s="27">
        <f t="shared" si="2"/>
        <v>1621442.6495999997</v>
      </c>
    </row>
    <row r="22" spans="1:12" x14ac:dyDescent="0.25">
      <c r="A22" s="7" t="s">
        <v>989</v>
      </c>
      <c r="B22" s="7" t="s">
        <v>990</v>
      </c>
      <c r="C22" s="8">
        <v>108009799</v>
      </c>
      <c r="D22" s="9">
        <v>1017181</v>
      </c>
      <c r="E22" s="14">
        <v>685981</v>
      </c>
      <c r="F22" s="27">
        <f t="shared" si="0"/>
        <v>331200</v>
      </c>
      <c r="G22" s="14"/>
      <c r="H22" s="19">
        <v>5227654.4000000004</v>
      </c>
      <c r="I22" s="6"/>
      <c r="J22" s="27">
        <f t="shared" si="1"/>
        <v>102450944.59999999</v>
      </c>
      <c r="K22" s="34">
        <v>0.04</v>
      </c>
      <c r="L22" s="27">
        <f t="shared" si="2"/>
        <v>4098037.784</v>
      </c>
    </row>
    <row r="23" spans="1:12" x14ac:dyDescent="0.25">
      <c r="A23" s="7" t="s">
        <v>427</v>
      </c>
      <c r="B23" s="7" t="s">
        <v>428</v>
      </c>
      <c r="C23" s="8">
        <v>105713735</v>
      </c>
      <c r="D23" s="9">
        <v>1473887</v>
      </c>
      <c r="E23" s="14">
        <v>884979</v>
      </c>
      <c r="F23" s="27">
        <f t="shared" si="0"/>
        <v>588908</v>
      </c>
      <c r="G23" s="14"/>
      <c r="H23" s="19">
        <v>5484555.96</v>
      </c>
      <c r="I23" s="6"/>
      <c r="J23" s="27">
        <f t="shared" si="1"/>
        <v>99640271.040000007</v>
      </c>
      <c r="K23" s="35">
        <v>3.5000000000000003E-2</v>
      </c>
      <c r="L23" s="27">
        <f t="shared" si="2"/>
        <v>3487409.4864000008</v>
      </c>
    </row>
    <row r="24" spans="1:12" x14ac:dyDescent="0.25">
      <c r="A24" s="7" t="s">
        <v>823</v>
      </c>
      <c r="B24" s="7" t="s">
        <v>824</v>
      </c>
      <c r="C24" s="8">
        <v>104195198</v>
      </c>
      <c r="D24" s="9">
        <v>7446313</v>
      </c>
      <c r="E24" s="14">
        <v>3144498</v>
      </c>
      <c r="F24" s="27">
        <f t="shared" si="0"/>
        <v>4301815</v>
      </c>
      <c r="G24" s="17">
        <v>1697750</v>
      </c>
      <c r="H24" s="20"/>
      <c r="I24" s="6"/>
      <c r="J24" s="27">
        <f t="shared" si="1"/>
        <v>98195633</v>
      </c>
      <c r="K24" s="35">
        <v>3.5000000000000003E-2</v>
      </c>
      <c r="L24" s="27">
        <f t="shared" si="2"/>
        <v>3436847.1550000003</v>
      </c>
    </row>
    <row r="25" spans="1:12" x14ac:dyDescent="0.25">
      <c r="A25" s="7" t="s">
        <v>749</v>
      </c>
      <c r="B25" s="7" t="s">
        <v>750</v>
      </c>
      <c r="C25" s="8">
        <v>99988613</v>
      </c>
      <c r="D25" s="9">
        <v>8247016</v>
      </c>
      <c r="E25" s="14">
        <v>878789</v>
      </c>
      <c r="F25" s="27">
        <f t="shared" si="0"/>
        <v>7368227</v>
      </c>
      <c r="G25" s="14"/>
      <c r="H25" s="19">
        <v>5108652.87</v>
      </c>
      <c r="I25" s="6"/>
      <c r="J25" s="27">
        <f t="shared" si="1"/>
        <v>87511733.129999995</v>
      </c>
      <c r="K25" s="35">
        <v>3.5000000000000003E-2</v>
      </c>
      <c r="L25" s="27">
        <f t="shared" si="2"/>
        <v>3062910.65955</v>
      </c>
    </row>
    <row r="26" spans="1:12" x14ac:dyDescent="0.25">
      <c r="A26" s="7" t="s">
        <v>621</v>
      </c>
      <c r="B26" s="7" t="s">
        <v>622</v>
      </c>
      <c r="C26" s="8">
        <v>92725651</v>
      </c>
      <c r="D26" s="9">
        <v>3707327</v>
      </c>
      <c r="E26" s="14">
        <v>767837</v>
      </c>
      <c r="F26" s="27">
        <f t="shared" si="0"/>
        <v>2939490</v>
      </c>
      <c r="G26" s="14"/>
      <c r="H26" s="20"/>
      <c r="I26" s="6"/>
      <c r="J26" s="27">
        <f t="shared" si="1"/>
        <v>89786161</v>
      </c>
      <c r="K26" s="35">
        <v>3.5000000000000003E-2</v>
      </c>
      <c r="L26" s="27">
        <f t="shared" si="2"/>
        <v>3142515.6350000002</v>
      </c>
    </row>
    <row r="27" spans="1:12" x14ac:dyDescent="0.25">
      <c r="A27" s="7" t="s">
        <v>793</v>
      </c>
      <c r="B27" s="7" t="s">
        <v>794</v>
      </c>
      <c r="C27" s="8">
        <v>91017029</v>
      </c>
      <c r="D27" s="9">
        <v>334405</v>
      </c>
      <c r="E27" s="14">
        <v>334405</v>
      </c>
      <c r="F27" s="27">
        <f t="shared" si="0"/>
        <v>0</v>
      </c>
      <c r="G27" s="14"/>
      <c r="H27" s="20"/>
      <c r="I27" s="6"/>
      <c r="J27" s="27">
        <f t="shared" si="1"/>
        <v>91017029</v>
      </c>
      <c r="K27" s="35">
        <v>3.5000000000000003E-2</v>
      </c>
      <c r="L27" s="27">
        <f t="shared" si="2"/>
        <v>3185596.0150000001</v>
      </c>
    </row>
    <row r="28" spans="1:12" x14ac:dyDescent="0.25">
      <c r="A28" s="7" t="s">
        <v>195</v>
      </c>
      <c r="B28" s="7" t="s">
        <v>196</v>
      </c>
      <c r="C28" s="8">
        <v>86326968</v>
      </c>
      <c r="D28" s="9">
        <v>2325642</v>
      </c>
      <c r="E28" s="14">
        <v>1615078</v>
      </c>
      <c r="F28" s="27">
        <f t="shared" si="0"/>
        <v>710564</v>
      </c>
      <c r="G28" s="14"/>
      <c r="H28" s="19">
        <v>3397503.93</v>
      </c>
      <c r="I28" s="6"/>
      <c r="J28" s="27">
        <f t="shared" si="1"/>
        <v>82218900.069999993</v>
      </c>
      <c r="K28" s="35">
        <v>3.5000000000000003E-2</v>
      </c>
      <c r="L28" s="27">
        <f t="shared" si="2"/>
        <v>2877661.50245</v>
      </c>
    </row>
    <row r="29" spans="1:12" x14ac:dyDescent="0.25">
      <c r="A29" s="7" t="s">
        <v>307</v>
      </c>
      <c r="B29" s="7" t="s">
        <v>308</v>
      </c>
      <c r="C29" s="8">
        <v>85314587</v>
      </c>
      <c r="D29" s="9">
        <v>256284</v>
      </c>
      <c r="E29" s="14">
        <v>256284</v>
      </c>
      <c r="F29" s="27">
        <f t="shared" si="0"/>
        <v>0</v>
      </c>
      <c r="G29" s="14"/>
      <c r="H29" s="19">
        <v>2140857</v>
      </c>
      <c r="I29" s="6"/>
      <c r="J29" s="27">
        <f t="shared" si="1"/>
        <v>83173730</v>
      </c>
      <c r="K29" s="35">
        <v>3.5000000000000003E-2</v>
      </c>
      <c r="L29" s="27">
        <f t="shared" si="2"/>
        <v>2911080.5500000003</v>
      </c>
    </row>
    <row r="30" spans="1:12" x14ac:dyDescent="0.25">
      <c r="A30" s="7" t="s">
        <v>623</v>
      </c>
      <c r="B30" s="7" t="s">
        <v>624</v>
      </c>
      <c r="C30" s="8">
        <v>84132206</v>
      </c>
      <c r="D30" s="9">
        <v>6180585</v>
      </c>
      <c r="E30" s="14">
        <v>1814450</v>
      </c>
      <c r="F30" s="27">
        <f t="shared" si="0"/>
        <v>4366135</v>
      </c>
      <c r="G30" s="14"/>
      <c r="H30" s="19">
        <v>4824033.47</v>
      </c>
      <c r="I30" s="6"/>
      <c r="J30" s="27">
        <f t="shared" si="1"/>
        <v>74942037.530000001</v>
      </c>
      <c r="K30" s="35">
        <v>3.5000000000000003E-2</v>
      </c>
      <c r="L30" s="27">
        <f t="shared" si="2"/>
        <v>2622971.3135500001</v>
      </c>
    </row>
    <row r="31" spans="1:12" x14ac:dyDescent="0.25">
      <c r="A31" s="7" t="s">
        <v>553</v>
      </c>
      <c r="B31" s="7" t="s">
        <v>554</v>
      </c>
      <c r="C31" s="8">
        <v>81784630.959999993</v>
      </c>
      <c r="D31" s="9">
        <v>0</v>
      </c>
      <c r="E31" s="14"/>
      <c r="F31" s="27">
        <f t="shared" si="0"/>
        <v>0</v>
      </c>
      <c r="G31" s="14"/>
      <c r="H31" s="19">
        <v>4075514</v>
      </c>
      <c r="I31" s="6"/>
      <c r="J31" s="27">
        <f t="shared" si="1"/>
        <v>77709116.959999993</v>
      </c>
      <c r="K31" s="35">
        <v>3.5000000000000003E-2</v>
      </c>
      <c r="L31" s="27">
        <f t="shared" si="2"/>
        <v>2719819.0936000003</v>
      </c>
    </row>
    <row r="32" spans="1:12" x14ac:dyDescent="0.25">
      <c r="A32" s="7" t="s">
        <v>457</v>
      </c>
      <c r="B32" s="7" t="s">
        <v>458</v>
      </c>
      <c r="C32" s="8">
        <v>80204322</v>
      </c>
      <c r="D32" s="9">
        <v>441561</v>
      </c>
      <c r="E32" s="14">
        <v>441561</v>
      </c>
      <c r="F32" s="27">
        <f t="shared" si="0"/>
        <v>0</v>
      </c>
      <c r="G32" s="14"/>
      <c r="H32" s="19">
        <v>4330861.26</v>
      </c>
      <c r="I32" s="6"/>
      <c r="J32" s="27">
        <f t="shared" si="1"/>
        <v>75873460.739999995</v>
      </c>
      <c r="K32" s="35">
        <v>3.5000000000000003E-2</v>
      </c>
      <c r="L32" s="27">
        <f t="shared" si="2"/>
        <v>2655571.1258999999</v>
      </c>
    </row>
    <row r="33" spans="1:12" x14ac:dyDescent="0.25">
      <c r="A33" s="7" t="s">
        <v>393</v>
      </c>
      <c r="B33" s="7" t="s">
        <v>394</v>
      </c>
      <c r="C33" s="8">
        <v>80044225</v>
      </c>
      <c r="D33" s="9">
        <v>2445434</v>
      </c>
      <c r="E33" s="14">
        <v>819151</v>
      </c>
      <c r="F33" s="27">
        <f t="shared" si="0"/>
        <v>1626283</v>
      </c>
      <c r="G33" s="14"/>
      <c r="H33" s="19">
        <v>1879958.58</v>
      </c>
      <c r="I33" s="6"/>
      <c r="J33" s="27">
        <f t="shared" si="1"/>
        <v>76537983.420000002</v>
      </c>
      <c r="K33" s="35">
        <v>3.5000000000000003E-2</v>
      </c>
      <c r="L33" s="27">
        <f t="shared" si="2"/>
        <v>2678829.4197000004</v>
      </c>
    </row>
    <row r="34" spans="1:12" x14ac:dyDescent="0.25">
      <c r="A34" s="7" t="s">
        <v>595</v>
      </c>
      <c r="B34" s="7" t="s">
        <v>596</v>
      </c>
      <c r="C34" s="8">
        <v>78403586</v>
      </c>
      <c r="D34" s="9">
        <v>8948417</v>
      </c>
      <c r="E34" s="14">
        <v>2923241</v>
      </c>
      <c r="F34" s="27">
        <f t="shared" si="0"/>
        <v>6025176</v>
      </c>
      <c r="G34" s="14"/>
      <c r="H34" s="20"/>
      <c r="I34" s="6"/>
      <c r="J34" s="27">
        <f t="shared" si="1"/>
        <v>72378410</v>
      </c>
      <c r="K34" s="35">
        <v>3.5000000000000003E-2</v>
      </c>
      <c r="L34" s="27">
        <f t="shared" si="2"/>
        <v>2533244.35</v>
      </c>
    </row>
    <row r="35" spans="1:12" x14ac:dyDescent="0.25">
      <c r="A35" s="7" t="s">
        <v>379</v>
      </c>
      <c r="B35" s="7" t="s">
        <v>380</v>
      </c>
      <c r="C35" s="8">
        <v>69474219</v>
      </c>
      <c r="D35" s="9">
        <v>2949912</v>
      </c>
      <c r="E35" s="14">
        <v>1894069</v>
      </c>
      <c r="F35" s="27">
        <f t="shared" si="0"/>
        <v>1055843</v>
      </c>
      <c r="G35" s="14"/>
      <c r="H35" s="20"/>
      <c r="I35" s="6"/>
      <c r="J35" s="27">
        <f t="shared" si="1"/>
        <v>68418376</v>
      </c>
      <c r="K35" s="34">
        <v>0.03</v>
      </c>
      <c r="L35" s="27">
        <f t="shared" si="2"/>
        <v>2052551.28</v>
      </c>
    </row>
    <row r="36" spans="1:12" x14ac:dyDescent="0.25">
      <c r="A36" s="7" t="s">
        <v>663</v>
      </c>
      <c r="B36" s="7" t="s">
        <v>664</v>
      </c>
      <c r="C36" s="8">
        <v>67188543</v>
      </c>
      <c r="D36" s="9">
        <v>906846</v>
      </c>
      <c r="E36" s="14">
        <v>906846</v>
      </c>
      <c r="F36" s="27">
        <f t="shared" si="0"/>
        <v>0</v>
      </c>
      <c r="G36" s="14"/>
      <c r="H36" s="19">
        <v>2737023.46</v>
      </c>
      <c r="I36" s="6"/>
      <c r="J36" s="27">
        <f t="shared" si="1"/>
        <v>64451519.539999999</v>
      </c>
      <c r="K36" s="34">
        <v>0.03</v>
      </c>
      <c r="L36" s="27">
        <f t="shared" si="2"/>
        <v>1933545.5861999998</v>
      </c>
    </row>
    <row r="37" spans="1:12" x14ac:dyDescent="0.25">
      <c r="A37" s="7" t="s">
        <v>1011</v>
      </c>
      <c r="B37" s="7" t="s">
        <v>1012</v>
      </c>
      <c r="C37" s="8">
        <v>61701816</v>
      </c>
      <c r="D37" s="9">
        <v>0</v>
      </c>
      <c r="E37" s="14"/>
      <c r="F37" s="27">
        <f t="shared" si="0"/>
        <v>0</v>
      </c>
      <c r="G37" s="17">
        <v>193000</v>
      </c>
      <c r="H37" s="19">
        <v>11174.51</v>
      </c>
      <c r="I37" s="6"/>
      <c r="J37" s="27">
        <f t="shared" si="1"/>
        <v>61497641.490000002</v>
      </c>
      <c r="K37" s="34">
        <v>0.03</v>
      </c>
      <c r="L37" s="27">
        <f t="shared" si="2"/>
        <v>1844929.2446999999</v>
      </c>
    </row>
    <row r="38" spans="1:12" x14ac:dyDescent="0.25">
      <c r="A38" s="7" t="s">
        <v>667</v>
      </c>
      <c r="B38" s="7" t="s">
        <v>668</v>
      </c>
      <c r="C38" s="8">
        <v>61602365</v>
      </c>
      <c r="D38" s="9">
        <v>378512</v>
      </c>
      <c r="E38" s="14">
        <v>378512</v>
      </c>
      <c r="F38" s="27">
        <f t="shared" si="0"/>
        <v>0</v>
      </c>
      <c r="G38" s="14"/>
      <c r="H38" s="19">
        <v>607981.80000000005</v>
      </c>
      <c r="I38" s="6"/>
      <c r="J38" s="27">
        <f t="shared" si="1"/>
        <v>60994383.200000003</v>
      </c>
      <c r="K38" s="34">
        <v>0.03</v>
      </c>
      <c r="L38" s="27">
        <f t="shared" si="2"/>
        <v>1829831.496</v>
      </c>
    </row>
    <row r="39" spans="1:12" x14ac:dyDescent="0.25">
      <c r="A39" s="7" t="s">
        <v>293</v>
      </c>
      <c r="B39" s="7" t="s">
        <v>294</v>
      </c>
      <c r="C39" s="8">
        <v>60966954</v>
      </c>
      <c r="D39" s="9">
        <v>3478807</v>
      </c>
      <c r="E39" s="14">
        <v>1826446</v>
      </c>
      <c r="F39" s="27">
        <f t="shared" si="0"/>
        <v>1652361</v>
      </c>
      <c r="G39" s="14"/>
      <c r="H39" s="19">
        <v>3579986.36</v>
      </c>
      <c r="I39" s="6"/>
      <c r="J39" s="27">
        <f t="shared" si="1"/>
        <v>55734606.640000001</v>
      </c>
      <c r="K39" s="34">
        <v>0.03</v>
      </c>
      <c r="L39" s="27">
        <f t="shared" si="2"/>
        <v>1672038.1991999999</v>
      </c>
    </row>
    <row r="40" spans="1:12" x14ac:dyDescent="0.25">
      <c r="A40" s="7" t="s">
        <v>835</v>
      </c>
      <c r="B40" s="7" t="s">
        <v>836</v>
      </c>
      <c r="C40" s="8">
        <v>58038273</v>
      </c>
      <c r="D40" s="9">
        <v>303625</v>
      </c>
      <c r="E40" s="14"/>
      <c r="F40" s="27">
        <f t="shared" si="0"/>
        <v>303625</v>
      </c>
      <c r="G40" s="17">
        <v>295000</v>
      </c>
      <c r="H40" s="19">
        <v>2754844.61</v>
      </c>
      <c r="I40" s="6"/>
      <c r="J40" s="27">
        <f t="shared" si="1"/>
        <v>54684803.390000001</v>
      </c>
      <c r="K40" s="34">
        <v>0.03</v>
      </c>
      <c r="L40" s="27">
        <f t="shared" si="2"/>
        <v>1640544.1017</v>
      </c>
    </row>
    <row r="41" spans="1:12" x14ac:dyDescent="0.25">
      <c r="A41" s="7" t="s">
        <v>561</v>
      </c>
      <c r="B41" s="7" t="s">
        <v>562</v>
      </c>
      <c r="C41" s="8">
        <v>56904731</v>
      </c>
      <c r="D41" s="9">
        <v>4554323</v>
      </c>
      <c r="E41" s="14">
        <v>3105424</v>
      </c>
      <c r="F41" s="27">
        <f t="shared" si="0"/>
        <v>1448899</v>
      </c>
      <c r="G41" s="14"/>
      <c r="H41" s="19">
        <v>2871702.92</v>
      </c>
      <c r="I41" s="6"/>
      <c r="J41" s="27">
        <f t="shared" si="1"/>
        <v>52584129.079999998</v>
      </c>
      <c r="K41" s="34">
        <v>0.03</v>
      </c>
      <c r="L41" s="27">
        <f t="shared" si="2"/>
        <v>1577523.8724</v>
      </c>
    </row>
    <row r="42" spans="1:12" x14ac:dyDescent="0.25">
      <c r="A42" s="10" t="s">
        <v>47</v>
      </c>
      <c r="B42" s="10" t="s">
        <v>48</v>
      </c>
      <c r="C42" s="11">
        <v>55714114</v>
      </c>
      <c r="D42" s="11">
        <v>0</v>
      </c>
      <c r="E42" s="15"/>
      <c r="F42" s="27">
        <f t="shared" si="0"/>
        <v>0</v>
      </c>
      <c r="G42" s="18">
        <v>50000</v>
      </c>
      <c r="H42" s="12"/>
      <c r="I42" s="12"/>
      <c r="J42" s="27">
        <f t="shared" si="1"/>
        <v>55664114</v>
      </c>
      <c r="K42" s="34"/>
      <c r="L42" s="27">
        <f t="shared" si="2"/>
        <v>0</v>
      </c>
    </row>
    <row r="43" spans="1:12" x14ac:dyDescent="0.25">
      <c r="A43" s="7" t="s">
        <v>965</v>
      </c>
      <c r="B43" s="7" t="s">
        <v>966</v>
      </c>
      <c r="C43" s="8">
        <v>54099708</v>
      </c>
      <c r="D43" s="9">
        <v>407149</v>
      </c>
      <c r="E43" s="14">
        <v>407149</v>
      </c>
      <c r="F43" s="27">
        <f t="shared" si="0"/>
        <v>0</v>
      </c>
      <c r="G43" s="14"/>
      <c r="H43" s="19">
        <v>1854965.5</v>
      </c>
      <c r="I43" s="6"/>
      <c r="J43" s="27">
        <f t="shared" si="1"/>
        <v>52244742.5</v>
      </c>
      <c r="K43" s="34">
        <v>0.03</v>
      </c>
      <c r="L43" s="27">
        <f t="shared" si="2"/>
        <v>1567342.2749999999</v>
      </c>
    </row>
    <row r="44" spans="1:12" x14ac:dyDescent="0.25">
      <c r="A44" s="7" t="s">
        <v>81</v>
      </c>
      <c r="B44" s="7" t="s">
        <v>82</v>
      </c>
      <c r="C44" s="8">
        <v>53555599.799999997</v>
      </c>
      <c r="D44" s="9">
        <v>5392582</v>
      </c>
      <c r="E44" s="14">
        <v>378509</v>
      </c>
      <c r="F44" s="27">
        <f t="shared" si="0"/>
        <v>5014073</v>
      </c>
      <c r="G44" s="14"/>
      <c r="H44" s="19">
        <v>2560466.98</v>
      </c>
      <c r="I44" s="6"/>
      <c r="J44" s="27">
        <f t="shared" si="1"/>
        <v>45981059.82</v>
      </c>
      <c r="K44" s="35">
        <v>2.5000000000000001E-2</v>
      </c>
      <c r="L44" s="27">
        <f t="shared" si="2"/>
        <v>1149526.4955</v>
      </c>
    </row>
    <row r="45" spans="1:12" x14ac:dyDescent="0.25">
      <c r="A45" s="7" t="s">
        <v>981</v>
      </c>
      <c r="B45" s="7" t="s">
        <v>982</v>
      </c>
      <c r="C45" s="8">
        <v>52263781</v>
      </c>
      <c r="D45" s="9">
        <v>915027</v>
      </c>
      <c r="E45" s="14">
        <v>600027</v>
      </c>
      <c r="F45" s="27">
        <f t="shared" si="0"/>
        <v>315000</v>
      </c>
      <c r="G45" s="17">
        <v>655800</v>
      </c>
      <c r="H45" s="19">
        <v>1227703.78</v>
      </c>
      <c r="I45" s="6"/>
      <c r="J45" s="27">
        <f t="shared" si="1"/>
        <v>50065277.219999999</v>
      </c>
      <c r="K45" s="34">
        <v>0.03</v>
      </c>
      <c r="L45" s="27">
        <f t="shared" si="2"/>
        <v>1501958.3166</v>
      </c>
    </row>
    <row r="46" spans="1:12" x14ac:dyDescent="0.25">
      <c r="A46" s="7" t="s">
        <v>559</v>
      </c>
      <c r="B46" s="7" t="s">
        <v>560</v>
      </c>
      <c r="C46" s="8">
        <v>51028922</v>
      </c>
      <c r="D46" s="9">
        <v>2281709</v>
      </c>
      <c r="E46" s="14">
        <v>1662609</v>
      </c>
      <c r="F46" s="27">
        <f t="shared" si="0"/>
        <v>619100</v>
      </c>
      <c r="G46" s="17">
        <v>621190</v>
      </c>
      <c r="H46" s="20"/>
      <c r="I46" s="6"/>
      <c r="J46" s="27">
        <f t="shared" si="1"/>
        <v>49788632</v>
      </c>
      <c r="K46" s="35">
        <v>2.5000000000000001E-2</v>
      </c>
      <c r="L46" s="27">
        <f t="shared" si="2"/>
        <v>1244715.8</v>
      </c>
    </row>
    <row r="47" spans="1:12" x14ac:dyDescent="0.25">
      <c r="A47" s="7" t="s">
        <v>861</v>
      </c>
      <c r="B47" s="7" t="s">
        <v>862</v>
      </c>
      <c r="C47" s="8">
        <v>50841384</v>
      </c>
      <c r="D47" s="9">
        <v>922424</v>
      </c>
      <c r="E47" s="14">
        <v>922424</v>
      </c>
      <c r="F47" s="27">
        <f t="shared" si="0"/>
        <v>0</v>
      </c>
      <c r="G47" s="14"/>
      <c r="H47" s="19">
        <v>1729686.4</v>
      </c>
      <c r="I47" s="6"/>
      <c r="J47" s="27">
        <f t="shared" si="1"/>
        <v>49111697.600000001</v>
      </c>
      <c r="K47" s="35">
        <v>2.5000000000000001E-2</v>
      </c>
      <c r="L47" s="27">
        <f t="shared" si="2"/>
        <v>1227792.4400000002</v>
      </c>
    </row>
    <row r="48" spans="1:12" x14ac:dyDescent="0.25">
      <c r="A48" s="7" t="s">
        <v>579</v>
      </c>
      <c r="B48" s="7" t="s">
        <v>580</v>
      </c>
      <c r="C48" s="8">
        <v>48919688</v>
      </c>
      <c r="D48" s="9">
        <v>641580</v>
      </c>
      <c r="E48" s="14">
        <v>249580</v>
      </c>
      <c r="F48" s="27">
        <f t="shared" si="0"/>
        <v>392000</v>
      </c>
      <c r="G48" s="17">
        <v>76600</v>
      </c>
      <c r="H48" s="19">
        <v>1555425.71</v>
      </c>
      <c r="I48" s="6"/>
      <c r="J48" s="27">
        <f t="shared" si="1"/>
        <v>46895662.289999999</v>
      </c>
      <c r="K48" s="35">
        <v>2.5000000000000001E-2</v>
      </c>
      <c r="L48" s="27">
        <f t="shared" si="2"/>
        <v>1172391.5572500001</v>
      </c>
    </row>
    <row r="49" spans="1:12" x14ac:dyDescent="0.25">
      <c r="A49" s="7" t="s">
        <v>987</v>
      </c>
      <c r="B49" s="7" t="s">
        <v>988</v>
      </c>
      <c r="C49" s="8">
        <v>47982308</v>
      </c>
      <c r="D49" s="9">
        <v>1384147</v>
      </c>
      <c r="E49" s="14">
        <v>312915</v>
      </c>
      <c r="F49" s="27">
        <f t="shared" si="0"/>
        <v>1071232</v>
      </c>
      <c r="G49" s="14"/>
      <c r="H49" s="19">
        <v>332550.65999999997</v>
      </c>
      <c r="I49" s="6"/>
      <c r="J49" s="27">
        <f t="shared" si="1"/>
        <v>46578525.340000004</v>
      </c>
      <c r="K49" s="35">
        <v>2.5000000000000001E-2</v>
      </c>
      <c r="L49" s="27">
        <f t="shared" si="2"/>
        <v>1164463.1335000002</v>
      </c>
    </row>
    <row r="50" spans="1:12" x14ac:dyDescent="0.25">
      <c r="A50" s="7" t="s">
        <v>513</v>
      </c>
      <c r="B50" s="7" t="s">
        <v>514</v>
      </c>
      <c r="C50" s="8">
        <v>47787711</v>
      </c>
      <c r="D50" s="9">
        <v>2148271</v>
      </c>
      <c r="E50" s="14">
        <v>633129</v>
      </c>
      <c r="F50" s="27">
        <f t="shared" si="0"/>
        <v>1515142</v>
      </c>
      <c r="G50" s="17">
        <v>605200</v>
      </c>
      <c r="H50" s="19">
        <v>2340557.64</v>
      </c>
      <c r="I50" s="6"/>
      <c r="J50" s="27">
        <f t="shared" si="1"/>
        <v>43326811.359999999</v>
      </c>
      <c r="K50" s="35">
        <v>2.5000000000000001E-2</v>
      </c>
      <c r="L50" s="27">
        <f t="shared" si="2"/>
        <v>1083170.284</v>
      </c>
    </row>
    <row r="51" spans="1:12" x14ac:dyDescent="0.25">
      <c r="A51" s="7" t="s">
        <v>827</v>
      </c>
      <c r="B51" s="7" t="s">
        <v>828</v>
      </c>
      <c r="C51" s="8">
        <v>47357516</v>
      </c>
      <c r="D51" s="9">
        <v>3413885</v>
      </c>
      <c r="E51" s="14">
        <v>1730742</v>
      </c>
      <c r="F51" s="27">
        <f t="shared" si="0"/>
        <v>1683143</v>
      </c>
      <c r="G51" s="14"/>
      <c r="H51" s="19">
        <v>2571887.2599999998</v>
      </c>
      <c r="I51" s="6"/>
      <c r="J51" s="27">
        <f t="shared" si="1"/>
        <v>43102485.740000002</v>
      </c>
      <c r="K51" s="35">
        <v>2.5000000000000001E-2</v>
      </c>
      <c r="L51" s="27">
        <f t="shared" si="2"/>
        <v>1077562.1435</v>
      </c>
    </row>
    <row r="52" spans="1:12" x14ac:dyDescent="0.25">
      <c r="A52" s="7" t="s">
        <v>679</v>
      </c>
      <c r="B52" s="7" t="s">
        <v>680</v>
      </c>
      <c r="C52" s="8">
        <v>45530831</v>
      </c>
      <c r="D52" s="9">
        <v>2801615</v>
      </c>
      <c r="E52" s="14">
        <v>1503517</v>
      </c>
      <c r="F52" s="27">
        <f t="shared" si="0"/>
        <v>1298098</v>
      </c>
      <c r="G52" s="17">
        <v>1329963</v>
      </c>
      <c r="H52" s="20"/>
      <c r="I52" s="6"/>
      <c r="J52" s="27">
        <f t="shared" si="1"/>
        <v>42902770</v>
      </c>
      <c r="K52" s="35">
        <v>2.5000000000000001E-2</v>
      </c>
      <c r="L52" s="27">
        <f t="shared" si="2"/>
        <v>1072569.25</v>
      </c>
    </row>
    <row r="53" spans="1:12" x14ac:dyDescent="0.25">
      <c r="A53" s="7" t="s">
        <v>185</v>
      </c>
      <c r="B53" s="7" t="s">
        <v>186</v>
      </c>
      <c r="C53" s="8">
        <v>45026252</v>
      </c>
      <c r="D53" s="9">
        <v>6416525</v>
      </c>
      <c r="E53" s="14">
        <v>2944448</v>
      </c>
      <c r="F53" s="27">
        <f t="shared" si="0"/>
        <v>3472077</v>
      </c>
      <c r="G53" s="17">
        <v>902625</v>
      </c>
      <c r="H53" s="20"/>
      <c r="I53" s="6"/>
      <c r="J53" s="27">
        <f t="shared" si="1"/>
        <v>40651550</v>
      </c>
      <c r="K53" s="35">
        <v>2.5000000000000001E-2</v>
      </c>
      <c r="L53" s="27">
        <f t="shared" si="2"/>
        <v>1016288.75</v>
      </c>
    </row>
    <row r="54" spans="1:12" x14ac:dyDescent="0.25">
      <c r="A54" s="7" t="s">
        <v>345</v>
      </c>
      <c r="B54" s="7" t="s">
        <v>346</v>
      </c>
      <c r="C54" s="8">
        <v>44668214</v>
      </c>
      <c r="D54" s="9">
        <v>394662</v>
      </c>
      <c r="E54" s="14">
        <v>394662</v>
      </c>
      <c r="F54" s="27">
        <f t="shared" si="0"/>
        <v>0</v>
      </c>
      <c r="G54" s="14"/>
      <c r="H54" s="20"/>
      <c r="I54" s="6"/>
      <c r="J54" s="27">
        <f t="shared" si="1"/>
        <v>44668214</v>
      </c>
      <c r="K54" s="35">
        <v>2.5000000000000001E-2</v>
      </c>
      <c r="L54" s="27">
        <f t="shared" si="2"/>
        <v>1116705.3500000001</v>
      </c>
    </row>
    <row r="55" spans="1:12" x14ac:dyDescent="0.25">
      <c r="A55" s="7" t="s">
        <v>557</v>
      </c>
      <c r="B55" s="7" t="s">
        <v>558</v>
      </c>
      <c r="C55" s="8">
        <v>44413520</v>
      </c>
      <c r="D55" s="9">
        <v>753060</v>
      </c>
      <c r="E55" s="14"/>
      <c r="F55" s="27">
        <f t="shared" si="0"/>
        <v>753060</v>
      </c>
      <c r="G55" s="17">
        <v>165400</v>
      </c>
      <c r="H55" s="19">
        <v>1931771.9</v>
      </c>
      <c r="I55" s="6"/>
      <c r="J55" s="27">
        <f t="shared" si="1"/>
        <v>41563288.100000001</v>
      </c>
      <c r="K55" s="35">
        <v>2.5000000000000001E-2</v>
      </c>
      <c r="L55" s="27">
        <f t="shared" si="2"/>
        <v>1039082.2025000001</v>
      </c>
    </row>
    <row r="56" spans="1:12" x14ac:dyDescent="0.25">
      <c r="A56" s="7" t="s">
        <v>757</v>
      </c>
      <c r="B56" s="7" t="s">
        <v>758</v>
      </c>
      <c r="C56" s="8">
        <v>44126474</v>
      </c>
      <c r="D56" s="9">
        <v>4624847</v>
      </c>
      <c r="E56" s="14">
        <v>418822</v>
      </c>
      <c r="F56" s="27">
        <f t="shared" si="0"/>
        <v>4206025</v>
      </c>
      <c r="G56" s="14"/>
      <c r="H56" s="19">
        <v>2082806.92</v>
      </c>
      <c r="I56" s="6"/>
      <c r="J56" s="27">
        <f t="shared" si="1"/>
        <v>37837642.079999998</v>
      </c>
      <c r="K56" s="35">
        <v>2.5000000000000001E-2</v>
      </c>
      <c r="L56" s="27">
        <f t="shared" si="2"/>
        <v>945941.05200000003</v>
      </c>
    </row>
    <row r="57" spans="1:12" x14ac:dyDescent="0.25">
      <c r="A57" s="7" t="s">
        <v>1013</v>
      </c>
      <c r="B57" s="7" t="s">
        <v>1014</v>
      </c>
      <c r="C57" s="8">
        <v>44093907</v>
      </c>
      <c r="D57" s="9">
        <v>1625243</v>
      </c>
      <c r="E57" s="14"/>
      <c r="F57" s="27">
        <f t="shared" si="0"/>
        <v>1625243</v>
      </c>
      <c r="G57" s="14"/>
      <c r="H57" s="19">
        <v>327689.40999999997</v>
      </c>
      <c r="I57" s="6"/>
      <c r="J57" s="27">
        <f t="shared" si="1"/>
        <v>42140974.590000004</v>
      </c>
      <c r="K57" s="35">
        <v>2.5000000000000001E-2</v>
      </c>
      <c r="L57" s="27">
        <f t="shared" si="2"/>
        <v>1053524.3647500002</v>
      </c>
    </row>
    <row r="58" spans="1:12" x14ac:dyDescent="0.25">
      <c r="A58" s="7" t="s">
        <v>359</v>
      </c>
      <c r="B58" s="7" t="s">
        <v>360</v>
      </c>
      <c r="C58" s="8">
        <v>43732419.799999997</v>
      </c>
      <c r="D58" s="9">
        <v>2718287</v>
      </c>
      <c r="E58" s="14">
        <v>740077</v>
      </c>
      <c r="F58" s="27">
        <f t="shared" si="0"/>
        <v>1978210</v>
      </c>
      <c r="G58" s="14"/>
      <c r="H58" s="19">
        <v>1582864.73</v>
      </c>
      <c r="I58" s="19">
        <v>8302500</v>
      </c>
      <c r="J58" s="27">
        <f t="shared" si="1"/>
        <v>31868845.07</v>
      </c>
      <c r="K58" s="35">
        <v>2.5000000000000001E-2</v>
      </c>
      <c r="L58" s="27">
        <f t="shared" si="2"/>
        <v>796721.12675000005</v>
      </c>
    </row>
    <row r="59" spans="1:12" x14ac:dyDescent="0.25">
      <c r="A59" s="7" t="s">
        <v>549</v>
      </c>
      <c r="B59" s="7" t="s">
        <v>550</v>
      </c>
      <c r="C59" s="8">
        <v>42836991</v>
      </c>
      <c r="D59" s="9">
        <v>4248968</v>
      </c>
      <c r="E59" s="14">
        <v>2913315</v>
      </c>
      <c r="F59" s="27">
        <f t="shared" si="0"/>
        <v>1335653</v>
      </c>
      <c r="G59" s="14"/>
      <c r="H59" s="20"/>
      <c r="I59" s="6"/>
      <c r="J59" s="27">
        <f t="shared" si="1"/>
        <v>41501338</v>
      </c>
      <c r="K59" s="35">
        <v>2.5000000000000001E-2</v>
      </c>
      <c r="L59" s="27">
        <f t="shared" si="2"/>
        <v>1037533.4500000001</v>
      </c>
    </row>
    <row r="60" spans="1:12" x14ac:dyDescent="0.25">
      <c r="A60" s="7" t="s">
        <v>459</v>
      </c>
      <c r="B60" s="7" t="s">
        <v>460</v>
      </c>
      <c r="C60" s="8">
        <v>42499763</v>
      </c>
      <c r="D60" s="9">
        <v>390910</v>
      </c>
      <c r="E60" s="14">
        <v>390910</v>
      </c>
      <c r="F60" s="27">
        <f t="shared" si="0"/>
        <v>0</v>
      </c>
      <c r="G60" s="14"/>
      <c r="H60" s="19">
        <v>1480671.22</v>
      </c>
      <c r="I60" s="6"/>
      <c r="J60" s="27">
        <f t="shared" si="1"/>
        <v>41019091.780000001</v>
      </c>
      <c r="K60" s="35">
        <v>2.5000000000000001E-2</v>
      </c>
      <c r="L60" s="27">
        <f t="shared" si="2"/>
        <v>1025477.2945000001</v>
      </c>
    </row>
    <row r="61" spans="1:12" x14ac:dyDescent="0.25">
      <c r="A61" s="7" t="s">
        <v>769</v>
      </c>
      <c r="B61" s="7" t="s">
        <v>770</v>
      </c>
      <c r="C61" s="8">
        <v>42068725</v>
      </c>
      <c r="D61" s="9">
        <v>1704011</v>
      </c>
      <c r="E61" s="14">
        <v>608641</v>
      </c>
      <c r="F61" s="27">
        <f t="shared" si="0"/>
        <v>1095370</v>
      </c>
      <c r="G61" s="14"/>
      <c r="H61" s="19">
        <v>2030567.26</v>
      </c>
      <c r="I61" s="6"/>
      <c r="J61" s="27">
        <f t="shared" si="1"/>
        <v>38942787.740000002</v>
      </c>
      <c r="K61" s="35">
        <v>2.5000000000000001E-2</v>
      </c>
      <c r="L61" s="27">
        <f t="shared" si="2"/>
        <v>973569.69350000005</v>
      </c>
    </row>
    <row r="62" spans="1:12" x14ac:dyDescent="0.25">
      <c r="A62" s="7" t="s">
        <v>533</v>
      </c>
      <c r="B62" s="7" t="s">
        <v>534</v>
      </c>
      <c r="C62" s="8">
        <v>40528930</v>
      </c>
      <c r="D62" s="9">
        <v>1349002</v>
      </c>
      <c r="E62" s="14">
        <v>138980</v>
      </c>
      <c r="F62" s="27">
        <f t="shared" si="0"/>
        <v>1210022</v>
      </c>
      <c r="G62" s="14"/>
      <c r="H62" s="20"/>
      <c r="I62" s="6"/>
      <c r="J62" s="27">
        <f t="shared" si="1"/>
        <v>39318908</v>
      </c>
      <c r="K62" s="35">
        <v>2.5000000000000001E-2</v>
      </c>
      <c r="L62" s="27">
        <f t="shared" si="2"/>
        <v>982972.70000000007</v>
      </c>
    </row>
    <row r="63" spans="1:12" x14ac:dyDescent="0.25">
      <c r="A63" s="7" t="s">
        <v>417</v>
      </c>
      <c r="B63" s="7" t="s">
        <v>418</v>
      </c>
      <c r="C63" s="8">
        <v>40006214</v>
      </c>
      <c r="D63" s="9">
        <v>1508530</v>
      </c>
      <c r="E63" s="14"/>
      <c r="F63" s="27">
        <f t="shared" si="0"/>
        <v>1508530</v>
      </c>
      <c r="G63" s="14"/>
      <c r="H63" s="19">
        <v>1975652</v>
      </c>
      <c r="I63" s="6"/>
      <c r="J63" s="27">
        <f t="shared" si="1"/>
        <v>36522032</v>
      </c>
      <c r="K63" s="35">
        <v>2.5000000000000001E-2</v>
      </c>
      <c r="L63" s="27">
        <f t="shared" si="2"/>
        <v>913050.8</v>
      </c>
    </row>
    <row r="64" spans="1:12" x14ac:dyDescent="0.25">
      <c r="A64" s="7" t="s">
        <v>285</v>
      </c>
      <c r="B64" s="7" t="s">
        <v>286</v>
      </c>
      <c r="C64" s="8">
        <v>39149900</v>
      </c>
      <c r="D64" s="9">
        <v>0</v>
      </c>
      <c r="E64" s="14"/>
      <c r="F64" s="27">
        <f t="shared" si="0"/>
        <v>0</v>
      </c>
      <c r="G64" s="14"/>
      <c r="H64" s="20"/>
      <c r="I64" s="6"/>
      <c r="J64" s="27">
        <f t="shared" si="1"/>
        <v>39149900</v>
      </c>
      <c r="K64" s="35">
        <v>2.5000000000000001E-2</v>
      </c>
      <c r="L64" s="27">
        <f t="shared" si="2"/>
        <v>978747.5</v>
      </c>
    </row>
    <row r="65" spans="1:12" x14ac:dyDescent="0.25">
      <c r="A65" s="10" t="s">
        <v>367</v>
      </c>
      <c r="B65" s="10" t="s">
        <v>368</v>
      </c>
      <c r="C65" s="11">
        <v>38680039</v>
      </c>
      <c r="D65" s="11">
        <v>760570</v>
      </c>
      <c r="E65" s="15"/>
      <c r="F65" s="27">
        <f t="shared" si="0"/>
        <v>760570</v>
      </c>
      <c r="G65" s="15"/>
      <c r="H65" s="12"/>
      <c r="I65" s="12"/>
      <c r="J65" s="27">
        <f t="shared" si="1"/>
        <v>37919469</v>
      </c>
      <c r="K65" s="35"/>
      <c r="L65" s="27">
        <f t="shared" si="2"/>
        <v>0</v>
      </c>
    </row>
    <row r="66" spans="1:12" x14ac:dyDescent="0.25">
      <c r="A66" s="7" t="s">
        <v>321</v>
      </c>
      <c r="B66" s="7" t="s">
        <v>322</v>
      </c>
      <c r="C66" s="8">
        <v>38310280</v>
      </c>
      <c r="D66" s="9">
        <v>0</v>
      </c>
      <c r="E66" s="14"/>
      <c r="F66" s="27">
        <f t="shared" si="0"/>
        <v>0</v>
      </c>
      <c r="G66" s="14"/>
      <c r="H66" s="19">
        <v>2285688.4</v>
      </c>
      <c r="I66" s="6"/>
      <c r="J66" s="27">
        <f t="shared" si="1"/>
        <v>36024591.600000001</v>
      </c>
      <c r="K66" s="35">
        <v>2.5000000000000001E-2</v>
      </c>
      <c r="L66" s="27">
        <f t="shared" si="2"/>
        <v>900614.79</v>
      </c>
    </row>
    <row r="67" spans="1:12" x14ac:dyDescent="0.25">
      <c r="A67" s="7" t="s">
        <v>565</v>
      </c>
      <c r="B67" s="7" t="s">
        <v>566</v>
      </c>
      <c r="C67" s="8">
        <v>37536554.200000003</v>
      </c>
      <c r="D67" s="9">
        <v>106334</v>
      </c>
      <c r="E67" s="14">
        <v>106334</v>
      </c>
      <c r="F67" s="27">
        <f t="shared" ref="F67:F130" si="3">D67-E67</f>
        <v>0</v>
      </c>
      <c r="G67" s="14"/>
      <c r="H67" s="19">
        <v>1003249.84</v>
      </c>
      <c r="I67" s="6"/>
      <c r="J67" s="27">
        <f t="shared" ref="J67:J130" si="4">C67-F67-G67-H67-I67</f>
        <v>36533304.359999999</v>
      </c>
      <c r="K67" s="35">
        <v>2.5000000000000001E-2</v>
      </c>
      <c r="L67" s="27">
        <f t="shared" ref="L67:L130" si="5">J67*K67</f>
        <v>913332.60900000005</v>
      </c>
    </row>
    <row r="68" spans="1:12" x14ac:dyDescent="0.25">
      <c r="A68" s="7" t="s">
        <v>901</v>
      </c>
      <c r="B68" s="7" t="s">
        <v>902</v>
      </c>
      <c r="C68" s="8">
        <v>37299209</v>
      </c>
      <c r="D68" s="9">
        <v>166555</v>
      </c>
      <c r="E68" s="14"/>
      <c r="F68" s="27">
        <f t="shared" si="3"/>
        <v>166555</v>
      </c>
      <c r="G68" s="17">
        <v>117000</v>
      </c>
      <c r="H68" s="19">
        <v>1815631.59</v>
      </c>
      <c r="I68" s="6"/>
      <c r="J68" s="27">
        <f t="shared" si="4"/>
        <v>35200022.409999996</v>
      </c>
      <c r="K68" s="35">
        <v>2.5000000000000001E-2</v>
      </c>
      <c r="L68" s="27">
        <f t="shared" si="5"/>
        <v>880000.56024999998</v>
      </c>
    </row>
    <row r="69" spans="1:12" x14ac:dyDescent="0.25">
      <c r="A69" s="7" t="s">
        <v>541</v>
      </c>
      <c r="B69" s="7" t="s">
        <v>542</v>
      </c>
      <c r="C69" s="8">
        <v>36658991</v>
      </c>
      <c r="D69" s="9">
        <v>331672</v>
      </c>
      <c r="E69" s="14">
        <v>254876</v>
      </c>
      <c r="F69" s="27">
        <f t="shared" si="3"/>
        <v>76796</v>
      </c>
      <c r="G69" s="14"/>
      <c r="H69" s="19">
        <v>1911233.11</v>
      </c>
      <c r="I69" s="6"/>
      <c r="J69" s="27">
        <f t="shared" si="4"/>
        <v>34670961.890000001</v>
      </c>
      <c r="K69" s="35">
        <v>2.5000000000000001E-2</v>
      </c>
      <c r="L69" s="27">
        <f t="shared" si="5"/>
        <v>866774.04725000006</v>
      </c>
    </row>
    <row r="70" spans="1:12" x14ac:dyDescent="0.25">
      <c r="A70" s="7" t="s">
        <v>931</v>
      </c>
      <c r="B70" s="7" t="s">
        <v>932</v>
      </c>
      <c r="C70" s="8">
        <v>35143890</v>
      </c>
      <c r="D70" s="9">
        <v>136219</v>
      </c>
      <c r="E70" s="14">
        <v>136219</v>
      </c>
      <c r="F70" s="27">
        <f t="shared" si="3"/>
        <v>0</v>
      </c>
      <c r="G70" s="14"/>
      <c r="H70" s="19">
        <v>653913</v>
      </c>
      <c r="I70" s="6"/>
      <c r="J70" s="27">
        <f t="shared" si="4"/>
        <v>34489977</v>
      </c>
      <c r="K70" s="35">
        <v>2.5000000000000001E-2</v>
      </c>
      <c r="L70" s="27">
        <f t="shared" si="5"/>
        <v>862249.42500000005</v>
      </c>
    </row>
    <row r="71" spans="1:12" x14ac:dyDescent="0.25">
      <c r="A71" s="7" t="s">
        <v>771</v>
      </c>
      <c r="B71" s="7" t="s">
        <v>772</v>
      </c>
      <c r="C71" s="8">
        <v>34507318</v>
      </c>
      <c r="D71" s="9">
        <v>2517030</v>
      </c>
      <c r="E71" s="14">
        <v>319712</v>
      </c>
      <c r="F71" s="27">
        <f t="shared" si="3"/>
        <v>2197318</v>
      </c>
      <c r="G71" s="14"/>
      <c r="H71" s="20"/>
      <c r="I71" s="6"/>
      <c r="J71" s="27">
        <f t="shared" si="4"/>
        <v>32310000</v>
      </c>
      <c r="K71" s="35">
        <v>2.5000000000000001E-2</v>
      </c>
      <c r="L71" s="27">
        <f t="shared" si="5"/>
        <v>807750</v>
      </c>
    </row>
    <row r="72" spans="1:12" x14ac:dyDescent="0.25">
      <c r="A72" s="7" t="s">
        <v>131</v>
      </c>
      <c r="B72" s="7" t="s">
        <v>132</v>
      </c>
      <c r="C72" s="8">
        <v>32181842</v>
      </c>
      <c r="D72" s="9">
        <v>0</v>
      </c>
      <c r="E72" s="14"/>
      <c r="F72" s="27">
        <f t="shared" si="3"/>
        <v>0</v>
      </c>
      <c r="G72" s="17">
        <v>216700</v>
      </c>
      <c r="H72" s="19">
        <v>1543486.92</v>
      </c>
      <c r="I72" s="6"/>
      <c r="J72" s="27">
        <f t="shared" si="4"/>
        <v>30421655.079999998</v>
      </c>
      <c r="K72" s="35">
        <v>2.5000000000000001E-2</v>
      </c>
      <c r="L72" s="27">
        <f t="shared" si="5"/>
        <v>760541.37699999998</v>
      </c>
    </row>
    <row r="73" spans="1:12" x14ac:dyDescent="0.25">
      <c r="A73" s="7" t="s">
        <v>927</v>
      </c>
      <c r="B73" s="7" t="s">
        <v>928</v>
      </c>
      <c r="C73" s="8">
        <v>32031018</v>
      </c>
      <c r="D73" s="9">
        <v>2211042</v>
      </c>
      <c r="E73" s="14">
        <v>843199</v>
      </c>
      <c r="F73" s="27">
        <f t="shared" si="3"/>
        <v>1367843</v>
      </c>
      <c r="G73" s="14"/>
      <c r="H73" s="19">
        <v>2046326.52</v>
      </c>
      <c r="I73" s="6"/>
      <c r="J73" s="27">
        <f t="shared" si="4"/>
        <v>28616848.48</v>
      </c>
      <c r="K73" s="34">
        <v>0.02</v>
      </c>
      <c r="L73" s="27">
        <f t="shared" si="5"/>
        <v>572336.96960000007</v>
      </c>
    </row>
    <row r="74" spans="1:12" x14ac:dyDescent="0.25">
      <c r="A74" s="7" t="s">
        <v>715</v>
      </c>
      <c r="B74" s="7" t="s">
        <v>716</v>
      </c>
      <c r="C74" s="8">
        <v>31959279</v>
      </c>
      <c r="D74" s="9">
        <v>332987</v>
      </c>
      <c r="E74" s="14">
        <v>332987</v>
      </c>
      <c r="F74" s="27">
        <f t="shared" si="3"/>
        <v>0</v>
      </c>
      <c r="G74" s="17">
        <v>46600</v>
      </c>
      <c r="H74" s="19">
        <v>1564465</v>
      </c>
      <c r="I74" s="6"/>
      <c r="J74" s="27">
        <f t="shared" si="4"/>
        <v>30348214</v>
      </c>
      <c r="K74" s="35">
        <v>2.5000000000000001E-2</v>
      </c>
      <c r="L74" s="27">
        <f t="shared" si="5"/>
        <v>758705.35000000009</v>
      </c>
    </row>
    <row r="75" spans="1:12" x14ac:dyDescent="0.25">
      <c r="A75" s="7" t="s">
        <v>219</v>
      </c>
      <c r="B75" s="7" t="s">
        <v>220</v>
      </c>
      <c r="C75" s="8">
        <v>30407556</v>
      </c>
      <c r="D75" s="9">
        <v>2201557</v>
      </c>
      <c r="E75" s="14">
        <v>767869</v>
      </c>
      <c r="F75" s="27">
        <f t="shared" si="3"/>
        <v>1433688</v>
      </c>
      <c r="G75" s="17">
        <v>462993</v>
      </c>
      <c r="H75" s="20"/>
      <c r="I75" s="6"/>
      <c r="J75" s="27">
        <f t="shared" si="4"/>
        <v>28510875</v>
      </c>
      <c r="K75" s="34">
        <v>0.02</v>
      </c>
      <c r="L75" s="27">
        <f t="shared" si="5"/>
        <v>570217.5</v>
      </c>
    </row>
    <row r="76" spans="1:12" x14ac:dyDescent="0.25">
      <c r="A76" s="7" t="s">
        <v>409</v>
      </c>
      <c r="B76" s="7" t="s">
        <v>410</v>
      </c>
      <c r="C76" s="8">
        <v>30393126</v>
      </c>
      <c r="D76" s="9">
        <v>761840</v>
      </c>
      <c r="E76" s="14"/>
      <c r="F76" s="27">
        <f t="shared" si="3"/>
        <v>761840</v>
      </c>
      <c r="G76" s="17">
        <v>871362</v>
      </c>
      <c r="H76" s="20"/>
      <c r="I76" s="6"/>
      <c r="J76" s="27">
        <f t="shared" si="4"/>
        <v>28759924</v>
      </c>
      <c r="K76" s="34">
        <v>0.02</v>
      </c>
      <c r="L76" s="27">
        <f t="shared" si="5"/>
        <v>575198.48</v>
      </c>
    </row>
    <row r="77" spans="1:12" x14ac:dyDescent="0.25">
      <c r="A77" s="7" t="s">
        <v>903</v>
      </c>
      <c r="B77" s="7" t="s">
        <v>904</v>
      </c>
      <c r="C77" s="8">
        <v>30047956</v>
      </c>
      <c r="D77" s="9">
        <v>0</v>
      </c>
      <c r="E77" s="14"/>
      <c r="F77" s="27">
        <f t="shared" si="3"/>
        <v>0</v>
      </c>
      <c r="G77" s="14"/>
      <c r="H77" s="20"/>
      <c r="I77" s="6"/>
      <c r="J77" s="27">
        <f t="shared" si="4"/>
        <v>30047956</v>
      </c>
      <c r="K77" s="35">
        <v>2.5000000000000001E-2</v>
      </c>
      <c r="L77" s="27">
        <f t="shared" si="5"/>
        <v>751198.9</v>
      </c>
    </row>
    <row r="78" spans="1:12" x14ac:dyDescent="0.25">
      <c r="A78" s="7" t="s">
        <v>365</v>
      </c>
      <c r="B78" s="7" t="s">
        <v>366</v>
      </c>
      <c r="C78" s="8">
        <v>29876316</v>
      </c>
      <c r="D78" s="9">
        <v>0</v>
      </c>
      <c r="E78" s="14"/>
      <c r="F78" s="27">
        <f t="shared" si="3"/>
        <v>0</v>
      </c>
      <c r="G78" s="14"/>
      <c r="H78" s="19">
        <v>1318490.1000000001</v>
      </c>
      <c r="I78" s="6"/>
      <c r="J78" s="27">
        <f t="shared" si="4"/>
        <v>28557825.899999999</v>
      </c>
      <c r="K78" s="34">
        <v>0.02</v>
      </c>
      <c r="L78" s="27">
        <f t="shared" si="5"/>
        <v>571156.51800000004</v>
      </c>
    </row>
    <row r="79" spans="1:12" x14ac:dyDescent="0.25">
      <c r="A79" s="7" t="s">
        <v>437</v>
      </c>
      <c r="B79" s="7" t="s">
        <v>438</v>
      </c>
      <c r="C79" s="8">
        <v>29862792</v>
      </c>
      <c r="D79" s="9">
        <v>0</v>
      </c>
      <c r="E79" s="14"/>
      <c r="F79" s="27">
        <f t="shared" si="3"/>
        <v>0</v>
      </c>
      <c r="G79" s="14"/>
      <c r="H79" s="19">
        <v>1868855.95</v>
      </c>
      <c r="I79" s="6"/>
      <c r="J79" s="27">
        <f t="shared" si="4"/>
        <v>27993936.050000001</v>
      </c>
      <c r="K79" s="34">
        <v>0.02</v>
      </c>
      <c r="L79" s="27">
        <f t="shared" si="5"/>
        <v>559878.72100000002</v>
      </c>
    </row>
    <row r="80" spans="1:12" x14ac:dyDescent="0.25">
      <c r="A80" s="7" t="s">
        <v>515</v>
      </c>
      <c r="B80" s="7" t="s">
        <v>516</v>
      </c>
      <c r="C80" s="8">
        <v>29813622</v>
      </c>
      <c r="D80" s="9">
        <v>901047</v>
      </c>
      <c r="E80" s="14">
        <v>901047</v>
      </c>
      <c r="F80" s="27">
        <f t="shared" si="3"/>
        <v>0</v>
      </c>
      <c r="G80" s="14"/>
      <c r="H80" s="20"/>
      <c r="I80" s="6"/>
      <c r="J80" s="27">
        <f t="shared" si="4"/>
        <v>29813622</v>
      </c>
      <c r="K80" s="34">
        <v>0.02</v>
      </c>
      <c r="L80" s="27">
        <f t="shared" si="5"/>
        <v>596272.44000000006</v>
      </c>
    </row>
    <row r="81" spans="1:12" x14ac:dyDescent="0.25">
      <c r="A81" s="7" t="s">
        <v>967</v>
      </c>
      <c r="B81" s="7" t="s">
        <v>968</v>
      </c>
      <c r="C81" s="8">
        <v>29742250</v>
      </c>
      <c r="D81" s="9">
        <v>230317</v>
      </c>
      <c r="E81" s="14">
        <v>230317</v>
      </c>
      <c r="F81" s="27">
        <f t="shared" si="3"/>
        <v>0</v>
      </c>
      <c r="G81" s="17">
        <v>187816</v>
      </c>
      <c r="H81" s="20"/>
      <c r="I81" s="6"/>
      <c r="J81" s="27">
        <f t="shared" si="4"/>
        <v>29554434</v>
      </c>
      <c r="K81" s="34">
        <v>0.02</v>
      </c>
      <c r="L81" s="27">
        <f t="shared" si="5"/>
        <v>591088.68000000005</v>
      </c>
    </row>
    <row r="82" spans="1:12" x14ac:dyDescent="0.25">
      <c r="A82" s="7" t="s">
        <v>479</v>
      </c>
      <c r="B82" s="7" t="s">
        <v>480</v>
      </c>
      <c r="C82" s="8">
        <v>29615802</v>
      </c>
      <c r="D82" s="9">
        <v>0</v>
      </c>
      <c r="E82" s="14"/>
      <c r="F82" s="27">
        <f t="shared" si="3"/>
        <v>0</v>
      </c>
      <c r="G82" s="14"/>
      <c r="H82" s="19">
        <v>8699.85</v>
      </c>
      <c r="I82" s="6"/>
      <c r="J82" s="27">
        <f t="shared" si="4"/>
        <v>29607102.149999999</v>
      </c>
      <c r="K82" s="34">
        <v>0.02</v>
      </c>
      <c r="L82" s="27">
        <f t="shared" si="5"/>
        <v>592142.04299999995</v>
      </c>
    </row>
    <row r="83" spans="1:12" x14ac:dyDescent="0.25">
      <c r="A83" s="7" t="s">
        <v>731</v>
      </c>
      <c r="B83" s="7" t="s">
        <v>732</v>
      </c>
      <c r="C83" s="8">
        <v>27034949</v>
      </c>
      <c r="D83" s="9">
        <v>1569147</v>
      </c>
      <c r="E83" s="14"/>
      <c r="F83" s="27">
        <f t="shared" si="3"/>
        <v>1569147</v>
      </c>
      <c r="G83" s="17">
        <v>97000</v>
      </c>
      <c r="H83" s="19">
        <v>1211686.68</v>
      </c>
      <c r="I83" s="6"/>
      <c r="J83" s="27">
        <f t="shared" si="4"/>
        <v>24157115.32</v>
      </c>
      <c r="K83" s="34">
        <v>0.02</v>
      </c>
      <c r="L83" s="27">
        <f t="shared" si="5"/>
        <v>483142.3064</v>
      </c>
    </row>
    <row r="84" spans="1:12" x14ac:dyDescent="0.25">
      <c r="A84" s="7" t="s">
        <v>869</v>
      </c>
      <c r="B84" s="7" t="s">
        <v>870</v>
      </c>
      <c r="C84" s="8">
        <v>26822767</v>
      </c>
      <c r="D84" s="9">
        <v>851400</v>
      </c>
      <c r="E84" s="14">
        <v>851400</v>
      </c>
      <c r="F84" s="27">
        <f t="shared" si="3"/>
        <v>0</v>
      </c>
      <c r="G84" s="17">
        <v>634810</v>
      </c>
      <c r="H84" s="20"/>
      <c r="I84" s="6"/>
      <c r="J84" s="27">
        <f t="shared" si="4"/>
        <v>26187957</v>
      </c>
      <c r="K84" s="34">
        <v>0.02</v>
      </c>
      <c r="L84" s="27">
        <f t="shared" si="5"/>
        <v>523759.14</v>
      </c>
    </row>
    <row r="85" spans="1:12" x14ac:dyDescent="0.25">
      <c r="A85" s="7" t="s">
        <v>275</v>
      </c>
      <c r="B85" s="7" t="s">
        <v>276</v>
      </c>
      <c r="C85" s="8">
        <v>26792036</v>
      </c>
      <c r="D85" s="9">
        <v>266541</v>
      </c>
      <c r="E85" s="14">
        <v>266541</v>
      </c>
      <c r="F85" s="27">
        <f t="shared" si="3"/>
        <v>0</v>
      </c>
      <c r="G85" s="14"/>
      <c r="H85" s="20"/>
      <c r="I85" s="6"/>
      <c r="J85" s="27">
        <f t="shared" si="4"/>
        <v>26792036</v>
      </c>
      <c r="K85" s="34">
        <v>0.02</v>
      </c>
      <c r="L85" s="27">
        <f t="shared" si="5"/>
        <v>535840.72</v>
      </c>
    </row>
    <row r="86" spans="1:12" x14ac:dyDescent="0.25">
      <c r="A86" s="7" t="s">
        <v>705</v>
      </c>
      <c r="B86" s="7" t="s">
        <v>706</v>
      </c>
      <c r="C86" s="8">
        <v>25820088</v>
      </c>
      <c r="D86" s="9">
        <v>2063239</v>
      </c>
      <c r="E86" s="14">
        <v>439234</v>
      </c>
      <c r="F86" s="27">
        <f t="shared" si="3"/>
        <v>1624005</v>
      </c>
      <c r="G86" s="14"/>
      <c r="H86" s="20"/>
      <c r="I86" s="6"/>
      <c r="J86" s="27">
        <f t="shared" si="4"/>
        <v>24196083</v>
      </c>
      <c r="K86" s="34">
        <v>0.02</v>
      </c>
      <c r="L86" s="27">
        <f t="shared" si="5"/>
        <v>483921.66000000003</v>
      </c>
    </row>
    <row r="87" spans="1:12" x14ac:dyDescent="0.25">
      <c r="A87" s="7" t="s">
        <v>913</v>
      </c>
      <c r="B87" s="7" t="s">
        <v>914</v>
      </c>
      <c r="C87" s="8">
        <v>25581724</v>
      </c>
      <c r="D87" s="9">
        <v>533238</v>
      </c>
      <c r="E87" s="14">
        <v>361645</v>
      </c>
      <c r="F87" s="27">
        <f t="shared" si="3"/>
        <v>171593</v>
      </c>
      <c r="G87" s="14"/>
      <c r="H87" s="19">
        <v>1244615.1100000001</v>
      </c>
      <c r="I87" s="6"/>
      <c r="J87" s="27">
        <f t="shared" si="4"/>
        <v>24165515.890000001</v>
      </c>
      <c r="K87" s="34">
        <v>0.02</v>
      </c>
      <c r="L87" s="27">
        <f t="shared" si="5"/>
        <v>483310.31780000002</v>
      </c>
    </row>
    <row r="88" spans="1:12" x14ac:dyDescent="0.25">
      <c r="A88" s="7" t="s">
        <v>543</v>
      </c>
      <c r="B88" s="7" t="s">
        <v>544</v>
      </c>
      <c r="C88" s="8">
        <v>25350762</v>
      </c>
      <c r="D88" s="9">
        <v>254926</v>
      </c>
      <c r="E88" s="14">
        <v>254926</v>
      </c>
      <c r="F88" s="27">
        <f t="shared" si="3"/>
        <v>0</v>
      </c>
      <c r="G88" s="14"/>
      <c r="H88" s="20"/>
      <c r="I88" s="6"/>
      <c r="J88" s="27">
        <f t="shared" si="4"/>
        <v>25350762</v>
      </c>
      <c r="K88" s="34">
        <v>0.02</v>
      </c>
      <c r="L88" s="27">
        <f t="shared" si="5"/>
        <v>507015.24</v>
      </c>
    </row>
    <row r="89" spans="1:12" x14ac:dyDescent="0.25">
      <c r="A89" s="7" t="s">
        <v>203</v>
      </c>
      <c r="B89" s="7" t="s">
        <v>204</v>
      </c>
      <c r="C89" s="8">
        <v>25345747</v>
      </c>
      <c r="D89" s="9">
        <v>0</v>
      </c>
      <c r="E89" s="14"/>
      <c r="F89" s="27">
        <f t="shared" si="3"/>
        <v>0</v>
      </c>
      <c r="G89" s="14"/>
      <c r="H89" s="19">
        <v>1520422.79</v>
      </c>
      <c r="I89" s="6"/>
      <c r="J89" s="27">
        <f t="shared" si="4"/>
        <v>23825324.210000001</v>
      </c>
      <c r="K89" s="34">
        <v>0.02</v>
      </c>
      <c r="L89" s="27">
        <f t="shared" si="5"/>
        <v>476506.48420000001</v>
      </c>
    </row>
    <row r="90" spans="1:12" x14ac:dyDescent="0.25">
      <c r="A90" s="7" t="s">
        <v>357</v>
      </c>
      <c r="B90" s="7" t="s">
        <v>358</v>
      </c>
      <c r="C90" s="8">
        <v>25340795</v>
      </c>
      <c r="D90" s="9">
        <v>1046459</v>
      </c>
      <c r="E90" s="14">
        <v>310494</v>
      </c>
      <c r="F90" s="27">
        <f t="shared" si="3"/>
        <v>735965</v>
      </c>
      <c r="G90" s="17">
        <v>93415</v>
      </c>
      <c r="H90" s="19">
        <v>1192187.8500000001</v>
      </c>
      <c r="I90" s="6"/>
      <c r="J90" s="27">
        <f t="shared" si="4"/>
        <v>23319227.149999999</v>
      </c>
      <c r="K90" s="34">
        <v>0.02</v>
      </c>
      <c r="L90" s="27">
        <f t="shared" si="5"/>
        <v>466384.54300000001</v>
      </c>
    </row>
    <row r="91" spans="1:12" x14ac:dyDescent="0.25">
      <c r="A91" s="7" t="s">
        <v>1009</v>
      </c>
      <c r="B91" s="7" t="s">
        <v>1010</v>
      </c>
      <c r="C91" s="8">
        <v>24614406</v>
      </c>
      <c r="D91" s="9">
        <v>0</v>
      </c>
      <c r="E91" s="14"/>
      <c r="F91" s="27">
        <f t="shared" si="3"/>
        <v>0</v>
      </c>
      <c r="G91" s="14"/>
      <c r="H91" s="20"/>
      <c r="I91" s="6"/>
      <c r="J91" s="27">
        <f t="shared" si="4"/>
        <v>24614406</v>
      </c>
      <c r="K91" s="34">
        <v>0.02</v>
      </c>
      <c r="L91" s="27">
        <f t="shared" si="5"/>
        <v>492288.12</v>
      </c>
    </row>
    <row r="92" spans="1:12" x14ac:dyDescent="0.25">
      <c r="A92" s="7" t="s">
        <v>687</v>
      </c>
      <c r="B92" s="7" t="s">
        <v>688</v>
      </c>
      <c r="C92" s="8">
        <v>24536500</v>
      </c>
      <c r="D92" s="9">
        <v>0</v>
      </c>
      <c r="E92" s="14"/>
      <c r="F92" s="27">
        <f t="shared" si="3"/>
        <v>0</v>
      </c>
      <c r="G92" s="14"/>
      <c r="H92" s="19">
        <v>1429710</v>
      </c>
      <c r="I92" s="6"/>
      <c r="J92" s="27">
        <f t="shared" si="4"/>
        <v>23106790</v>
      </c>
      <c r="K92" s="34">
        <v>0.02</v>
      </c>
      <c r="L92" s="27">
        <f t="shared" si="5"/>
        <v>462135.8</v>
      </c>
    </row>
    <row r="93" spans="1:12" x14ac:dyDescent="0.25">
      <c r="A93" s="7" t="s">
        <v>327</v>
      </c>
      <c r="B93" s="7" t="s">
        <v>328</v>
      </c>
      <c r="C93" s="8">
        <v>24371131</v>
      </c>
      <c r="D93" s="9">
        <v>3650699</v>
      </c>
      <c r="E93" s="14">
        <v>956541</v>
      </c>
      <c r="F93" s="27">
        <f t="shared" si="3"/>
        <v>2694158</v>
      </c>
      <c r="G93" s="14"/>
      <c r="H93" s="19">
        <v>769233</v>
      </c>
      <c r="I93" s="6"/>
      <c r="J93" s="27">
        <f t="shared" si="4"/>
        <v>20907740</v>
      </c>
      <c r="K93" s="34">
        <v>0.02</v>
      </c>
      <c r="L93" s="27">
        <f t="shared" si="5"/>
        <v>418154.8</v>
      </c>
    </row>
    <row r="94" spans="1:12" x14ac:dyDescent="0.25">
      <c r="A94" s="7" t="s">
        <v>837</v>
      </c>
      <c r="B94" s="7" t="s">
        <v>838</v>
      </c>
      <c r="C94" s="8">
        <v>23810772</v>
      </c>
      <c r="D94" s="9">
        <v>4785020</v>
      </c>
      <c r="E94" s="14">
        <v>321195</v>
      </c>
      <c r="F94" s="27">
        <f t="shared" si="3"/>
        <v>4463825</v>
      </c>
      <c r="G94" s="17">
        <v>182932</v>
      </c>
      <c r="H94" s="20"/>
      <c r="I94" s="6"/>
      <c r="J94" s="27">
        <f t="shared" si="4"/>
        <v>19164015</v>
      </c>
      <c r="K94" s="34">
        <v>0.02</v>
      </c>
      <c r="L94" s="27">
        <f t="shared" si="5"/>
        <v>383280.3</v>
      </c>
    </row>
    <row r="95" spans="1:12" x14ac:dyDescent="0.25">
      <c r="A95" s="7" t="s">
        <v>849</v>
      </c>
      <c r="B95" s="7" t="s">
        <v>850</v>
      </c>
      <c r="C95" s="8">
        <v>23808429</v>
      </c>
      <c r="D95" s="9">
        <v>0</v>
      </c>
      <c r="E95" s="14"/>
      <c r="F95" s="27">
        <f t="shared" si="3"/>
        <v>0</v>
      </c>
      <c r="G95" s="14"/>
      <c r="H95" s="19">
        <v>1117369.78</v>
      </c>
      <c r="I95" s="6"/>
      <c r="J95" s="27">
        <f t="shared" si="4"/>
        <v>22691059.219999999</v>
      </c>
      <c r="K95" s="34">
        <v>0.02</v>
      </c>
      <c r="L95" s="27">
        <f t="shared" si="5"/>
        <v>453821.18439999997</v>
      </c>
    </row>
    <row r="96" spans="1:12" x14ac:dyDescent="0.25">
      <c r="A96" s="7" t="s">
        <v>351</v>
      </c>
      <c r="B96" s="7" t="s">
        <v>352</v>
      </c>
      <c r="C96" s="8">
        <v>22710035</v>
      </c>
      <c r="D96" s="9">
        <v>1812501</v>
      </c>
      <c r="E96" s="14"/>
      <c r="F96" s="27">
        <f t="shared" si="3"/>
        <v>1812501</v>
      </c>
      <c r="G96" s="17">
        <v>573620</v>
      </c>
      <c r="H96" s="20"/>
      <c r="I96" s="6"/>
      <c r="J96" s="27">
        <f t="shared" si="4"/>
        <v>20323914</v>
      </c>
      <c r="K96" s="34">
        <v>0.02</v>
      </c>
      <c r="L96" s="27">
        <f t="shared" si="5"/>
        <v>406478.28</v>
      </c>
    </row>
    <row r="97" spans="1:12" x14ac:dyDescent="0.25">
      <c r="A97" s="7" t="s">
        <v>859</v>
      </c>
      <c r="B97" s="7" t="s">
        <v>860</v>
      </c>
      <c r="C97" s="8">
        <v>21549860</v>
      </c>
      <c r="D97" s="9">
        <v>0</v>
      </c>
      <c r="E97" s="14"/>
      <c r="F97" s="27">
        <f t="shared" si="3"/>
        <v>0</v>
      </c>
      <c r="G97" s="17">
        <v>337200</v>
      </c>
      <c r="H97" s="19">
        <v>728147</v>
      </c>
      <c r="I97" s="6"/>
      <c r="J97" s="27">
        <f t="shared" si="4"/>
        <v>20484513</v>
      </c>
      <c r="K97" s="34">
        <v>0.02</v>
      </c>
      <c r="L97" s="27">
        <f t="shared" si="5"/>
        <v>409690.26</v>
      </c>
    </row>
    <row r="98" spans="1:12" x14ac:dyDescent="0.25">
      <c r="A98" s="7" t="s">
        <v>491</v>
      </c>
      <c r="B98" s="7" t="s">
        <v>492</v>
      </c>
      <c r="C98" s="8">
        <v>21317360</v>
      </c>
      <c r="D98" s="9">
        <v>132911</v>
      </c>
      <c r="E98" s="14">
        <v>132911</v>
      </c>
      <c r="F98" s="27">
        <f t="shared" si="3"/>
        <v>0</v>
      </c>
      <c r="G98" s="14"/>
      <c r="H98" s="19">
        <v>1185409.3999999999</v>
      </c>
      <c r="I98" s="6"/>
      <c r="J98" s="27">
        <f t="shared" si="4"/>
        <v>20131950.600000001</v>
      </c>
      <c r="K98" s="34">
        <v>0.02</v>
      </c>
      <c r="L98" s="27">
        <f t="shared" si="5"/>
        <v>402639.01200000005</v>
      </c>
    </row>
    <row r="99" spans="1:12" x14ac:dyDescent="0.25">
      <c r="A99" s="7" t="s">
        <v>283</v>
      </c>
      <c r="B99" s="7" t="s">
        <v>284</v>
      </c>
      <c r="C99" s="8">
        <v>20815386</v>
      </c>
      <c r="D99" s="9">
        <v>309780</v>
      </c>
      <c r="E99" s="14">
        <v>309780</v>
      </c>
      <c r="F99" s="27">
        <f t="shared" si="3"/>
        <v>0</v>
      </c>
      <c r="G99" s="14"/>
      <c r="H99" s="19">
        <v>2054476.74</v>
      </c>
      <c r="I99" s="6"/>
      <c r="J99" s="27">
        <f t="shared" si="4"/>
        <v>18760909.260000002</v>
      </c>
      <c r="K99" s="34">
        <v>0.02</v>
      </c>
      <c r="L99" s="27">
        <f t="shared" si="5"/>
        <v>375218.18520000007</v>
      </c>
    </row>
    <row r="100" spans="1:12" x14ac:dyDescent="0.25">
      <c r="A100" s="7" t="s">
        <v>371</v>
      </c>
      <c r="B100" s="7" t="s">
        <v>372</v>
      </c>
      <c r="C100" s="8">
        <v>20766834</v>
      </c>
      <c r="D100" s="9">
        <v>648314</v>
      </c>
      <c r="E100" s="14"/>
      <c r="F100" s="27">
        <f t="shared" si="3"/>
        <v>648314</v>
      </c>
      <c r="G100" s="17">
        <v>543400</v>
      </c>
      <c r="H100" s="19">
        <v>1005309.94</v>
      </c>
      <c r="I100" s="6"/>
      <c r="J100" s="27">
        <f t="shared" si="4"/>
        <v>18569810.059999999</v>
      </c>
      <c r="K100" s="34">
        <v>0.02</v>
      </c>
      <c r="L100" s="27">
        <f t="shared" si="5"/>
        <v>371396.20119999995</v>
      </c>
    </row>
    <row r="101" spans="1:12" x14ac:dyDescent="0.25">
      <c r="A101" s="7" t="s">
        <v>1005</v>
      </c>
      <c r="B101" s="7" t="s">
        <v>1006</v>
      </c>
      <c r="C101" s="8">
        <v>20365721</v>
      </c>
      <c r="D101" s="9">
        <v>0</v>
      </c>
      <c r="E101" s="14"/>
      <c r="F101" s="27">
        <f t="shared" si="3"/>
        <v>0</v>
      </c>
      <c r="G101" s="17">
        <v>158500</v>
      </c>
      <c r="H101" s="19">
        <v>376889.37</v>
      </c>
      <c r="I101" s="6"/>
      <c r="J101" s="27">
        <f t="shared" si="4"/>
        <v>19830331.629999999</v>
      </c>
      <c r="K101" s="34">
        <v>0.02</v>
      </c>
      <c r="L101" s="27">
        <f t="shared" si="5"/>
        <v>396606.63260000001</v>
      </c>
    </row>
    <row r="102" spans="1:12" x14ac:dyDescent="0.25">
      <c r="A102" s="7" t="s">
        <v>683</v>
      </c>
      <c r="B102" s="7" t="s">
        <v>684</v>
      </c>
      <c r="C102" s="8">
        <v>19930015</v>
      </c>
      <c r="D102" s="9">
        <v>0</v>
      </c>
      <c r="E102" s="14"/>
      <c r="F102" s="27">
        <f t="shared" si="3"/>
        <v>0</v>
      </c>
      <c r="G102" s="17">
        <v>360430</v>
      </c>
      <c r="H102" s="20"/>
      <c r="I102" s="6"/>
      <c r="J102" s="27">
        <f t="shared" si="4"/>
        <v>19569585</v>
      </c>
      <c r="K102" s="34">
        <v>0.02</v>
      </c>
      <c r="L102" s="27">
        <f t="shared" si="5"/>
        <v>391391.7</v>
      </c>
    </row>
    <row r="103" spans="1:12" x14ac:dyDescent="0.25">
      <c r="A103" s="37" t="s">
        <v>767</v>
      </c>
      <c r="B103" s="37" t="s">
        <v>768</v>
      </c>
      <c r="C103" s="8">
        <v>19631663</v>
      </c>
      <c r="D103" s="8">
        <v>0</v>
      </c>
      <c r="E103" s="13"/>
      <c r="F103" s="38">
        <f t="shared" si="3"/>
        <v>0</v>
      </c>
      <c r="G103" s="13"/>
      <c r="H103" s="39"/>
      <c r="I103" s="8">
        <v>12605063</v>
      </c>
      <c r="J103" s="38">
        <f t="shared" si="4"/>
        <v>7026600</v>
      </c>
      <c r="K103" s="39"/>
      <c r="L103" s="27">
        <f t="shared" si="5"/>
        <v>0</v>
      </c>
    </row>
    <row r="104" spans="1:12" x14ac:dyDescent="0.25">
      <c r="A104" s="7" t="s">
        <v>523</v>
      </c>
      <c r="B104" s="7" t="s">
        <v>524</v>
      </c>
      <c r="C104" s="8">
        <v>19083971</v>
      </c>
      <c r="D104" s="9">
        <v>0</v>
      </c>
      <c r="E104" s="14"/>
      <c r="F104" s="27">
        <f t="shared" si="3"/>
        <v>0</v>
      </c>
      <c r="G104" s="17">
        <v>1261800</v>
      </c>
      <c r="H104" s="19">
        <v>992569.55</v>
      </c>
      <c r="I104" s="6"/>
      <c r="J104" s="27">
        <f t="shared" si="4"/>
        <v>16829601.449999999</v>
      </c>
      <c r="K104" s="34">
        <v>0.02</v>
      </c>
      <c r="L104" s="27">
        <f t="shared" si="5"/>
        <v>336592.02899999998</v>
      </c>
    </row>
    <row r="105" spans="1:12" x14ac:dyDescent="0.25">
      <c r="A105" s="7" t="s">
        <v>319</v>
      </c>
      <c r="B105" s="7" t="s">
        <v>320</v>
      </c>
      <c r="C105" s="8">
        <v>19069723</v>
      </c>
      <c r="D105" s="9">
        <v>418509</v>
      </c>
      <c r="E105" s="14">
        <v>418509</v>
      </c>
      <c r="F105" s="27">
        <f t="shared" si="3"/>
        <v>0</v>
      </c>
      <c r="G105" s="14"/>
      <c r="H105" s="19">
        <v>806409.15</v>
      </c>
      <c r="I105" s="6"/>
      <c r="J105" s="27">
        <f t="shared" si="4"/>
        <v>18263313.850000001</v>
      </c>
      <c r="K105" s="34">
        <v>0.02</v>
      </c>
      <c r="L105" s="27">
        <f t="shared" si="5"/>
        <v>365266.27700000006</v>
      </c>
    </row>
    <row r="106" spans="1:12" x14ac:dyDescent="0.25">
      <c r="A106" s="7" t="s">
        <v>485</v>
      </c>
      <c r="B106" s="7" t="s">
        <v>486</v>
      </c>
      <c r="C106" s="8">
        <v>19041028</v>
      </c>
      <c r="D106" s="9">
        <v>610334</v>
      </c>
      <c r="E106" s="14">
        <v>610334</v>
      </c>
      <c r="F106" s="27">
        <f t="shared" si="3"/>
        <v>0</v>
      </c>
      <c r="G106" s="14"/>
      <c r="H106" s="19">
        <v>180809.1</v>
      </c>
      <c r="I106" s="6"/>
      <c r="J106" s="27">
        <f t="shared" si="4"/>
        <v>18860218.899999999</v>
      </c>
      <c r="K106" s="34">
        <v>0.02</v>
      </c>
      <c r="L106" s="27">
        <f t="shared" si="5"/>
        <v>377204.37799999997</v>
      </c>
    </row>
    <row r="107" spans="1:12" x14ac:dyDescent="0.25">
      <c r="A107" s="7" t="s">
        <v>949</v>
      </c>
      <c r="B107" s="7" t="s">
        <v>950</v>
      </c>
      <c r="C107" s="8">
        <v>18886431</v>
      </c>
      <c r="D107" s="9">
        <v>863579</v>
      </c>
      <c r="E107" s="14">
        <v>863579</v>
      </c>
      <c r="F107" s="27">
        <f t="shared" si="3"/>
        <v>0</v>
      </c>
      <c r="G107" s="14"/>
      <c r="H107" s="19">
        <v>944321.89</v>
      </c>
      <c r="I107" s="6"/>
      <c r="J107" s="27">
        <f t="shared" si="4"/>
        <v>17942109.109999999</v>
      </c>
      <c r="K107" s="34">
        <v>0.02</v>
      </c>
      <c r="L107" s="27">
        <f t="shared" si="5"/>
        <v>358842.18219999998</v>
      </c>
    </row>
    <row r="108" spans="1:12" x14ac:dyDescent="0.25">
      <c r="A108" s="7" t="s">
        <v>701</v>
      </c>
      <c r="B108" s="7" t="s">
        <v>702</v>
      </c>
      <c r="C108" s="8">
        <v>18724950</v>
      </c>
      <c r="D108" s="9">
        <v>355937</v>
      </c>
      <c r="E108" s="14">
        <v>355937</v>
      </c>
      <c r="F108" s="27">
        <f t="shared" si="3"/>
        <v>0</v>
      </c>
      <c r="G108" s="14"/>
      <c r="H108" s="19">
        <v>380141.44</v>
      </c>
      <c r="I108" s="6"/>
      <c r="J108" s="27">
        <f t="shared" si="4"/>
        <v>18344808.559999999</v>
      </c>
      <c r="K108" s="34">
        <v>0.02</v>
      </c>
      <c r="L108" s="27">
        <f t="shared" si="5"/>
        <v>366896.17119999998</v>
      </c>
    </row>
    <row r="109" spans="1:12" x14ac:dyDescent="0.25">
      <c r="A109" s="7" t="s">
        <v>675</v>
      </c>
      <c r="B109" s="7" t="s">
        <v>676</v>
      </c>
      <c r="C109" s="8">
        <v>17976664</v>
      </c>
      <c r="D109" s="9">
        <v>109829</v>
      </c>
      <c r="E109" s="14">
        <v>109829</v>
      </c>
      <c r="F109" s="27">
        <f t="shared" si="3"/>
        <v>0</v>
      </c>
      <c r="G109" s="17">
        <v>275200</v>
      </c>
      <c r="H109" s="19">
        <v>792336.66</v>
      </c>
      <c r="I109" s="6"/>
      <c r="J109" s="27">
        <f t="shared" si="4"/>
        <v>16909127.34</v>
      </c>
      <c r="K109" s="34">
        <v>0.02</v>
      </c>
      <c r="L109" s="27">
        <f t="shared" si="5"/>
        <v>338182.54680000001</v>
      </c>
    </row>
    <row r="110" spans="1:12" x14ac:dyDescent="0.25">
      <c r="A110" s="7" t="s">
        <v>339</v>
      </c>
      <c r="B110" s="7" t="s">
        <v>340</v>
      </c>
      <c r="C110" s="8">
        <v>17740877</v>
      </c>
      <c r="D110" s="9">
        <v>0</v>
      </c>
      <c r="E110" s="14"/>
      <c r="F110" s="27">
        <f t="shared" si="3"/>
        <v>0</v>
      </c>
      <c r="G110" s="14"/>
      <c r="H110" s="19">
        <v>1054098</v>
      </c>
      <c r="I110" s="6"/>
      <c r="J110" s="27">
        <f t="shared" si="4"/>
        <v>16686779</v>
      </c>
      <c r="K110" s="34">
        <v>0.02</v>
      </c>
      <c r="L110" s="27">
        <f t="shared" si="5"/>
        <v>333735.58</v>
      </c>
    </row>
    <row r="111" spans="1:12" x14ac:dyDescent="0.25">
      <c r="A111" s="7" t="s">
        <v>763</v>
      </c>
      <c r="B111" s="7" t="s">
        <v>764</v>
      </c>
      <c r="C111" s="8">
        <v>17610987</v>
      </c>
      <c r="D111" s="9">
        <v>2800000</v>
      </c>
      <c r="E111" s="14"/>
      <c r="F111" s="27">
        <f t="shared" si="3"/>
        <v>2800000</v>
      </c>
      <c r="G111" s="14"/>
      <c r="H111" s="19">
        <v>712840</v>
      </c>
      <c r="I111" s="6"/>
      <c r="J111" s="27">
        <f t="shared" si="4"/>
        <v>14098147</v>
      </c>
      <c r="K111" s="36">
        <v>1.4999999999999999E-2</v>
      </c>
      <c r="L111" s="27">
        <f t="shared" si="5"/>
        <v>211472.20499999999</v>
      </c>
    </row>
    <row r="112" spans="1:12" x14ac:dyDescent="0.25">
      <c r="A112" s="7" t="s">
        <v>857</v>
      </c>
      <c r="B112" s="7" t="s">
        <v>858</v>
      </c>
      <c r="C112" s="8">
        <v>17550575</v>
      </c>
      <c r="D112" s="9">
        <v>0</v>
      </c>
      <c r="E112" s="14"/>
      <c r="F112" s="27">
        <f t="shared" si="3"/>
        <v>0</v>
      </c>
      <c r="G112" s="14"/>
      <c r="H112" s="19">
        <v>714007.77</v>
      </c>
      <c r="I112" s="6"/>
      <c r="J112" s="27">
        <f t="shared" si="4"/>
        <v>16836567.23</v>
      </c>
      <c r="K112" s="34">
        <v>0.02</v>
      </c>
      <c r="L112" s="27">
        <f t="shared" si="5"/>
        <v>336731.34460000001</v>
      </c>
    </row>
    <row r="113" spans="1:12" x14ac:dyDescent="0.25">
      <c r="A113" s="7" t="s">
        <v>599</v>
      </c>
      <c r="B113" s="7" t="s">
        <v>600</v>
      </c>
      <c r="C113" s="8">
        <v>17251703</v>
      </c>
      <c r="D113" s="9">
        <v>0</v>
      </c>
      <c r="E113" s="14"/>
      <c r="F113" s="27">
        <f t="shared" si="3"/>
        <v>0</v>
      </c>
      <c r="G113" s="14"/>
      <c r="H113" s="19">
        <v>834496</v>
      </c>
      <c r="I113" s="6"/>
      <c r="J113" s="27">
        <f t="shared" si="4"/>
        <v>16417207</v>
      </c>
      <c r="K113" s="34">
        <v>0.02</v>
      </c>
      <c r="L113" s="27">
        <f t="shared" si="5"/>
        <v>328344.14</v>
      </c>
    </row>
    <row r="114" spans="1:12" x14ac:dyDescent="0.25">
      <c r="A114" s="7" t="s">
        <v>299</v>
      </c>
      <c r="B114" s="7" t="s">
        <v>300</v>
      </c>
      <c r="C114" s="8">
        <v>17054427</v>
      </c>
      <c r="D114" s="9">
        <v>108035</v>
      </c>
      <c r="E114" s="14">
        <v>108035</v>
      </c>
      <c r="F114" s="27">
        <f t="shared" si="3"/>
        <v>0</v>
      </c>
      <c r="G114" s="14"/>
      <c r="H114" s="19">
        <v>569974.74</v>
      </c>
      <c r="I114" s="6"/>
      <c r="J114" s="27">
        <f t="shared" si="4"/>
        <v>16484452.26</v>
      </c>
      <c r="K114" s="34">
        <v>0.02</v>
      </c>
      <c r="L114" s="27">
        <f t="shared" si="5"/>
        <v>329689.04519999999</v>
      </c>
    </row>
    <row r="115" spans="1:12" x14ac:dyDescent="0.25">
      <c r="A115" s="7" t="s">
        <v>487</v>
      </c>
      <c r="B115" s="7" t="s">
        <v>488</v>
      </c>
      <c r="C115" s="8">
        <v>16994060</v>
      </c>
      <c r="D115" s="9">
        <v>0</v>
      </c>
      <c r="E115" s="14"/>
      <c r="F115" s="27">
        <f t="shared" si="3"/>
        <v>0</v>
      </c>
      <c r="G115" s="14"/>
      <c r="H115" s="19">
        <v>763439.3</v>
      </c>
      <c r="I115" s="6"/>
      <c r="J115" s="27">
        <f t="shared" si="4"/>
        <v>16230620.699999999</v>
      </c>
      <c r="K115" s="34">
        <v>0.02</v>
      </c>
      <c r="L115" s="27">
        <f t="shared" si="5"/>
        <v>324612.41399999999</v>
      </c>
    </row>
    <row r="116" spans="1:12" x14ac:dyDescent="0.25">
      <c r="A116" s="7" t="s">
        <v>127</v>
      </c>
      <c r="B116" s="7" t="s">
        <v>128</v>
      </c>
      <c r="C116" s="8">
        <v>16230935</v>
      </c>
      <c r="D116" s="9">
        <v>0</v>
      </c>
      <c r="E116" s="14"/>
      <c r="F116" s="27">
        <f t="shared" si="3"/>
        <v>0</v>
      </c>
      <c r="G116" s="14"/>
      <c r="H116" s="19">
        <v>734186</v>
      </c>
      <c r="I116" s="6"/>
      <c r="J116" s="27">
        <f t="shared" si="4"/>
        <v>15496749</v>
      </c>
      <c r="K116" s="34">
        <v>0.02</v>
      </c>
      <c r="L116" s="27">
        <f t="shared" si="5"/>
        <v>309934.98</v>
      </c>
    </row>
    <row r="117" spans="1:12" x14ac:dyDescent="0.25">
      <c r="A117" s="7" t="s">
        <v>955</v>
      </c>
      <c r="B117" s="7" t="s">
        <v>956</v>
      </c>
      <c r="C117" s="8">
        <v>15964865</v>
      </c>
      <c r="D117" s="9">
        <v>119723</v>
      </c>
      <c r="E117" s="14">
        <v>119723</v>
      </c>
      <c r="F117" s="27">
        <f t="shared" si="3"/>
        <v>0</v>
      </c>
      <c r="G117" s="14"/>
      <c r="H117" s="19">
        <v>1033155.97</v>
      </c>
      <c r="I117" s="6"/>
      <c r="J117" s="27">
        <f t="shared" si="4"/>
        <v>14931709.029999999</v>
      </c>
      <c r="K117" s="36">
        <v>1.4999999999999999E-2</v>
      </c>
      <c r="L117" s="27">
        <f t="shared" si="5"/>
        <v>223975.63544999997</v>
      </c>
    </row>
    <row r="118" spans="1:12" x14ac:dyDescent="0.25">
      <c r="A118" s="7" t="s">
        <v>223</v>
      </c>
      <c r="B118" s="7" t="s">
        <v>224</v>
      </c>
      <c r="C118" s="8">
        <v>15774387</v>
      </c>
      <c r="D118" s="9">
        <v>358182</v>
      </c>
      <c r="E118" s="14">
        <v>358182</v>
      </c>
      <c r="F118" s="27">
        <f t="shared" si="3"/>
        <v>0</v>
      </c>
      <c r="G118" s="17">
        <v>120100</v>
      </c>
      <c r="H118" s="20"/>
      <c r="I118" s="6"/>
      <c r="J118" s="27">
        <f t="shared" si="4"/>
        <v>15654287</v>
      </c>
      <c r="K118" s="34">
        <v>0.02</v>
      </c>
      <c r="L118" s="27">
        <f t="shared" si="5"/>
        <v>313085.74</v>
      </c>
    </row>
    <row r="119" spans="1:12" x14ac:dyDescent="0.25">
      <c r="A119" s="7" t="s">
        <v>593</v>
      </c>
      <c r="B119" s="7" t="s">
        <v>594</v>
      </c>
      <c r="C119" s="8">
        <v>15544151</v>
      </c>
      <c r="D119" s="9">
        <v>359942</v>
      </c>
      <c r="E119" s="14">
        <v>359942</v>
      </c>
      <c r="F119" s="27">
        <f t="shared" si="3"/>
        <v>0</v>
      </c>
      <c r="G119" s="17">
        <v>44000</v>
      </c>
      <c r="H119" s="19">
        <v>477312</v>
      </c>
      <c r="I119" s="6"/>
      <c r="J119" s="27">
        <f t="shared" si="4"/>
        <v>15022839</v>
      </c>
      <c r="K119" s="34">
        <v>0.02</v>
      </c>
      <c r="L119" s="27">
        <f t="shared" si="5"/>
        <v>300456.78000000003</v>
      </c>
    </row>
    <row r="120" spans="1:12" x14ac:dyDescent="0.25">
      <c r="A120" s="7" t="s">
        <v>777</v>
      </c>
      <c r="B120" s="7" t="s">
        <v>778</v>
      </c>
      <c r="C120" s="8">
        <v>14845690</v>
      </c>
      <c r="D120" s="9">
        <v>111795</v>
      </c>
      <c r="E120" s="14">
        <v>111795</v>
      </c>
      <c r="F120" s="27">
        <f t="shared" si="3"/>
        <v>0</v>
      </c>
      <c r="G120" s="17">
        <v>65200</v>
      </c>
      <c r="H120" s="19">
        <v>657170.49</v>
      </c>
      <c r="I120" s="6"/>
      <c r="J120" s="27">
        <f t="shared" si="4"/>
        <v>14123319.51</v>
      </c>
      <c r="K120" s="36">
        <v>1.4999999999999999E-2</v>
      </c>
      <c r="L120" s="27">
        <f t="shared" si="5"/>
        <v>211849.79264999999</v>
      </c>
    </row>
    <row r="121" spans="1:12" x14ac:dyDescent="0.25">
      <c r="A121" s="7" t="s">
        <v>991</v>
      </c>
      <c r="B121" s="7" t="s">
        <v>992</v>
      </c>
      <c r="C121" s="8">
        <v>14730907</v>
      </c>
      <c r="D121" s="9">
        <v>44640</v>
      </c>
      <c r="E121" s="14"/>
      <c r="F121" s="27">
        <f t="shared" si="3"/>
        <v>44640</v>
      </c>
      <c r="G121" s="17">
        <v>17000</v>
      </c>
      <c r="H121" s="19">
        <v>600365.4</v>
      </c>
      <c r="I121" s="6"/>
      <c r="J121" s="27">
        <f t="shared" si="4"/>
        <v>14068901.6</v>
      </c>
      <c r="K121" s="36">
        <v>1.4999999999999999E-2</v>
      </c>
      <c r="L121" s="27">
        <f t="shared" si="5"/>
        <v>211033.52399999998</v>
      </c>
    </row>
    <row r="122" spans="1:12" x14ac:dyDescent="0.25">
      <c r="A122" s="7" t="s">
        <v>601</v>
      </c>
      <c r="B122" s="7" t="s">
        <v>602</v>
      </c>
      <c r="C122" s="8">
        <v>14599291</v>
      </c>
      <c r="D122" s="9">
        <v>375653</v>
      </c>
      <c r="E122" s="14"/>
      <c r="F122" s="27">
        <f t="shared" si="3"/>
        <v>375653</v>
      </c>
      <c r="G122" s="14"/>
      <c r="H122" s="19">
        <v>606818.11</v>
      </c>
      <c r="I122" s="6"/>
      <c r="J122" s="27">
        <f t="shared" si="4"/>
        <v>13616819.890000001</v>
      </c>
      <c r="K122" s="36">
        <v>1.4999999999999999E-2</v>
      </c>
      <c r="L122" s="27">
        <f t="shared" si="5"/>
        <v>204252.29835</v>
      </c>
    </row>
    <row r="123" spans="1:12" x14ac:dyDescent="0.25">
      <c r="A123" s="7" t="s">
        <v>891</v>
      </c>
      <c r="B123" s="7" t="s">
        <v>892</v>
      </c>
      <c r="C123" s="8">
        <v>14416654</v>
      </c>
      <c r="D123" s="9">
        <v>2264315</v>
      </c>
      <c r="E123" s="14">
        <v>372987</v>
      </c>
      <c r="F123" s="27">
        <f t="shared" si="3"/>
        <v>1891328</v>
      </c>
      <c r="G123" s="14"/>
      <c r="H123" s="19">
        <v>664569.18999999994</v>
      </c>
      <c r="I123" s="6"/>
      <c r="J123" s="27">
        <f t="shared" si="4"/>
        <v>11860756.810000001</v>
      </c>
      <c r="K123" s="36">
        <v>1.4999999999999999E-2</v>
      </c>
      <c r="L123" s="27">
        <f t="shared" si="5"/>
        <v>177911.35214999999</v>
      </c>
    </row>
    <row r="124" spans="1:12" x14ac:dyDescent="0.25">
      <c r="A124" s="7" t="s">
        <v>537</v>
      </c>
      <c r="B124" s="7" t="s">
        <v>538</v>
      </c>
      <c r="C124" s="8">
        <v>13704957</v>
      </c>
      <c r="D124" s="9">
        <v>0</v>
      </c>
      <c r="E124" s="14"/>
      <c r="F124" s="27">
        <f t="shared" si="3"/>
        <v>0</v>
      </c>
      <c r="G124" s="17">
        <v>234710</v>
      </c>
      <c r="H124" s="19">
        <v>159493.91</v>
      </c>
      <c r="I124" s="6"/>
      <c r="J124" s="27">
        <f t="shared" si="4"/>
        <v>13310753.09</v>
      </c>
      <c r="K124" s="36">
        <v>1.4999999999999999E-2</v>
      </c>
      <c r="L124" s="27">
        <f t="shared" si="5"/>
        <v>199661.29634999999</v>
      </c>
    </row>
    <row r="125" spans="1:12" x14ac:dyDescent="0.25">
      <c r="A125" s="7" t="s">
        <v>31</v>
      </c>
      <c r="B125" s="7" t="s">
        <v>32</v>
      </c>
      <c r="C125" s="8">
        <v>13598501</v>
      </c>
      <c r="D125" s="9">
        <v>0</v>
      </c>
      <c r="E125" s="14"/>
      <c r="F125" s="27">
        <f t="shared" si="3"/>
        <v>0</v>
      </c>
      <c r="G125" s="14"/>
      <c r="H125" s="19">
        <v>551695.18999999994</v>
      </c>
      <c r="I125" s="6"/>
      <c r="J125" s="27">
        <f t="shared" si="4"/>
        <v>13046805.810000001</v>
      </c>
      <c r="K125" s="36">
        <v>1.4999999999999999E-2</v>
      </c>
      <c r="L125" s="27">
        <f t="shared" si="5"/>
        <v>195702.08715000001</v>
      </c>
    </row>
    <row r="126" spans="1:12" x14ac:dyDescent="0.25">
      <c r="A126" s="7" t="s">
        <v>251</v>
      </c>
      <c r="B126" s="7" t="s">
        <v>252</v>
      </c>
      <c r="C126" s="8">
        <v>13393120</v>
      </c>
      <c r="D126" s="9">
        <v>7213200</v>
      </c>
      <c r="E126" s="14"/>
      <c r="F126" s="27">
        <f t="shared" si="3"/>
        <v>7213200</v>
      </c>
      <c r="G126" s="14"/>
      <c r="H126" s="19">
        <v>303995.8</v>
      </c>
      <c r="I126" s="6"/>
      <c r="J126" s="27">
        <f t="shared" si="4"/>
        <v>5875924.2000000002</v>
      </c>
      <c r="K126" s="34">
        <v>0.01</v>
      </c>
      <c r="L126" s="27">
        <f t="shared" si="5"/>
        <v>58759.242000000006</v>
      </c>
    </row>
    <row r="127" spans="1:12" x14ac:dyDescent="0.25">
      <c r="A127" s="7" t="s">
        <v>349</v>
      </c>
      <c r="B127" s="7" t="s">
        <v>350</v>
      </c>
      <c r="C127" s="8">
        <v>13009489</v>
      </c>
      <c r="D127" s="9">
        <v>355868</v>
      </c>
      <c r="E127" s="14"/>
      <c r="F127" s="27">
        <f t="shared" si="3"/>
        <v>355868</v>
      </c>
      <c r="G127" s="17">
        <v>310965</v>
      </c>
      <c r="H127" s="19">
        <v>563104.15</v>
      </c>
      <c r="I127" s="6"/>
      <c r="J127" s="27">
        <f t="shared" si="4"/>
        <v>11779551.85</v>
      </c>
      <c r="K127" s="36">
        <v>1.4999999999999999E-2</v>
      </c>
      <c r="L127" s="27">
        <f t="shared" si="5"/>
        <v>176693.27774999998</v>
      </c>
    </row>
    <row r="128" spans="1:12" x14ac:dyDescent="0.25">
      <c r="A128" s="7" t="s">
        <v>1023</v>
      </c>
      <c r="B128" s="7" t="s">
        <v>1024</v>
      </c>
      <c r="C128" s="8">
        <v>12879728</v>
      </c>
      <c r="D128" s="9">
        <v>2094148</v>
      </c>
      <c r="E128" s="14"/>
      <c r="F128" s="27">
        <f t="shared" si="3"/>
        <v>2094148</v>
      </c>
      <c r="G128" s="14"/>
      <c r="H128" s="19">
        <v>407658.11</v>
      </c>
      <c r="I128" s="6"/>
      <c r="J128" s="27">
        <f t="shared" si="4"/>
        <v>10377921.890000001</v>
      </c>
      <c r="K128" s="36">
        <v>1.4999999999999999E-2</v>
      </c>
      <c r="L128" s="27">
        <f t="shared" si="5"/>
        <v>155668.82835</v>
      </c>
    </row>
    <row r="129" spans="1:12" x14ac:dyDescent="0.25">
      <c r="A129" s="7" t="s">
        <v>669</v>
      </c>
      <c r="B129" s="7" t="s">
        <v>670</v>
      </c>
      <c r="C129" s="8">
        <v>12685050</v>
      </c>
      <c r="D129" s="9">
        <v>954645</v>
      </c>
      <c r="E129" s="14">
        <v>954645</v>
      </c>
      <c r="F129" s="27">
        <f t="shared" si="3"/>
        <v>0</v>
      </c>
      <c r="G129" s="14"/>
      <c r="H129" s="20"/>
      <c r="I129" s="6"/>
      <c r="J129" s="27">
        <f t="shared" si="4"/>
        <v>12685050</v>
      </c>
      <c r="K129" s="36">
        <v>1.4999999999999999E-2</v>
      </c>
      <c r="L129" s="27">
        <f t="shared" si="5"/>
        <v>190275.75</v>
      </c>
    </row>
    <row r="130" spans="1:12" x14ac:dyDescent="0.25">
      <c r="A130" s="7" t="s">
        <v>411</v>
      </c>
      <c r="B130" s="7" t="s">
        <v>412</v>
      </c>
      <c r="C130" s="8">
        <v>12580609</v>
      </c>
      <c r="D130" s="9">
        <v>0</v>
      </c>
      <c r="E130" s="14"/>
      <c r="F130" s="27">
        <f t="shared" si="3"/>
        <v>0</v>
      </c>
      <c r="G130" s="17">
        <v>432660</v>
      </c>
      <c r="H130" s="20"/>
      <c r="I130" s="6"/>
      <c r="J130" s="27">
        <f t="shared" si="4"/>
        <v>12147949</v>
      </c>
      <c r="K130" s="36">
        <v>1.4999999999999999E-2</v>
      </c>
      <c r="L130" s="27">
        <f t="shared" si="5"/>
        <v>182219.23499999999</v>
      </c>
    </row>
    <row r="131" spans="1:12" x14ac:dyDescent="0.25">
      <c r="A131" s="7" t="s">
        <v>953</v>
      </c>
      <c r="B131" s="7" t="s">
        <v>954</v>
      </c>
      <c r="C131" s="8">
        <v>12475827</v>
      </c>
      <c r="D131" s="9">
        <v>110064</v>
      </c>
      <c r="E131" s="14">
        <v>110064</v>
      </c>
      <c r="F131" s="27">
        <f t="shared" ref="F131:F194" si="6">D131-E131</f>
        <v>0</v>
      </c>
      <c r="G131" s="14"/>
      <c r="H131" s="19">
        <v>431500.65</v>
      </c>
      <c r="I131" s="6"/>
      <c r="J131" s="27">
        <f t="shared" ref="J131:J194" si="7">C131-F131-G131-H131-I131</f>
        <v>12044326.35</v>
      </c>
      <c r="K131" s="36">
        <v>1.4999999999999999E-2</v>
      </c>
      <c r="L131" s="27">
        <f t="shared" ref="L131:L194" si="8">J131*K131</f>
        <v>180664.89525</v>
      </c>
    </row>
    <row r="132" spans="1:12" x14ac:dyDescent="0.25">
      <c r="A132" s="7" t="s">
        <v>49</v>
      </c>
      <c r="B132" s="7" t="s">
        <v>50</v>
      </c>
      <c r="C132" s="8">
        <v>12358860</v>
      </c>
      <c r="D132" s="9">
        <v>0</v>
      </c>
      <c r="E132" s="14"/>
      <c r="F132" s="27">
        <f t="shared" si="6"/>
        <v>0</v>
      </c>
      <c r="G132" s="14"/>
      <c r="H132" s="20"/>
      <c r="I132" s="6"/>
      <c r="J132" s="27">
        <f t="shared" si="7"/>
        <v>12358860</v>
      </c>
      <c r="K132" s="36">
        <v>1.4999999999999999E-2</v>
      </c>
      <c r="L132" s="27">
        <f t="shared" si="8"/>
        <v>185382.9</v>
      </c>
    </row>
    <row r="133" spans="1:12" x14ac:dyDescent="0.25">
      <c r="A133" s="10" t="s">
        <v>995</v>
      </c>
      <c r="B133" s="10" t="s">
        <v>996</v>
      </c>
      <c r="C133" s="11">
        <v>12350040</v>
      </c>
      <c r="D133" s="11">
        <v>0</v>
      </c>
      <c r="E133" s="15"/>
      <c r="F133" s="27">
        <f t="shared" si="6"/>
        <v>0</v>
      </c>
      <c r="G133" s="15"/>
      <c r="H133" s="12"/>
      <c r="I133" s="12"/>
      <c r="J133" s="27">
        <f t="shared" si="7"/>
        <v>12350040</v>
      </c>
      <c r="K133" s="36"/>
      <c r="L133" s="27">
        <f t="shared" si="8"/>
        <v>0</v>
      </c>
    </row>
    <row r="134" spans="1:12" x14ac:dyDescent="0.25">
      <c r="A134" s="7" t="s">
        <v>921</v>
      </c>
      <c r="B134" s="7" t="s">
        <v>922</v>
      </c>
      <c r="C134" s="8">
        <v>12252586</v>
      </c>
      <c r="D134" s="9">
        <v>0</v>
      </c>
      <c r="E134" s="14">
        <v>116427</v>
      </c>
      <c r="F134" s="27">
        <f t="shared" si="6"/>
        <v>-116427</v>
      </c>
      <c r="G134" s="14"/>
      <c r="H134" s="19">
        <v>438650.4</v>
      </c>
      <c r="I134" s="6"/>
      <c r="J134" s="27">
        <f t="shared" si="7"/>
        <v>11930362.6</v>
      </c>
      <c r="K134" s="36">
        <v>1.4999999999999999E-2</v>
      </c>
      <c r="L134" s="27">
        <f t="shared" si="8"/>
        <v>178955.43899999998</v>
      </c>
    </row>
    <row r="135" spans="1:12" x14ac:dyDescent="0.25">
      <c r="A135" s="7" t="s">
        <v>353</v>
      </c>
      <c r="B135" s="7" t="s">
        <v>354</v>
      </c>
      <c r="C135" s="8">
        <v>12059552</v>
      </c>
      <c r="D135" s="9">
        <v>0</v>
      </c>
      <c r="E135" s="14"/>
      <c r="F135" s="27">
        <f t="shared" si="6"/>
        <v>0</v>
      </c>
      <c r="G135" s="14"/>
      <c r="H135" s="19">
        <v>419285.88</v>
      </c>
      <c r="I135" s="6"/>
      <c r="J135" s="27">
        <f t="shared" si="7"/>
        <v>11640266.119999999</v>
      </c>
      <c r="K135" s="36">
        <v>1.4999999999999999E-2</v>
      </c>
      <c r="L135" s="27">
        <f t="shared" si="8"/>
        <v>174603.99179999999</v>
      </c>
    </row>
    <row r="136" spans="1:12" x14ac:dyDescent="0.25">
      <c r="A136" s="7" t="s">
        <v>73</v>
      </c>
      <c r="B136" s="7" t="s">
        <v>74</v>
      </c>
      <c r="C136" s="8">
        <v>11510305</v>
      </c>
      <c r="D136" s="9">
        <v>0</v>
      </c>
      <c r="E136" s="14"/>
      <c r="F136" s="27">
        <f t="shared" si="6"/>
        <v>0</v>
      </c>
      <c r="G136" s="17">
        <v>32600</v>
      </c>
      <c r="H136" s="20"/>
      <c r="I136" s="6"/>
      <c r="J136" s="27">
        <f t="shared" si="7"/>
        <v>11477705</v>
      </c>
      <c r="K136" s="36">
        <v>1.4999999999999999E-2</v>
      </c>
      <c r="L136" s="27">
        <f t="shared" si="8"/>
        <v>172165.57499999998</v>
      </c>
    </row>
    <row r="137" spans="1:12" x14ac:dyDescent="0.25">
      <c r="A137" s="7" t="s">
        <v>685</v>
      </c>
      <c r="B137" s="7" t="s">
        <v>686</v>
      </c>
      <c r="C137" s="8">
        <v>11347421</v>
      </c>
      <c r="D137" s="9">
        <v>0</v>
      </c>
      <c r="E137" s="14"/>
      <c r="F137" s="27">
        <f t="shared" si="6"/>
        <v>0</v>
      </c>
      <c r="G137" s="17">
        <v>377320</v>
      </c>
      <c r="H137" s="19">
        <v>687445.15</v>
      </c>
      <c r="I137" s="6"/>
      <c r="J137" s="27">
        <f t="shared" si="7"/>
        <v>10282655.85</v>
      </c>
      <c r="K137" s="36">
        <v>1.4999999999999999E-2</v>
      </c>
      <c r="L137" s="27">
        <f t="shared" si="8"/>
        <v>154239.83774999998</v>
      </c>
    </row>
    <row r="138" spans="1:12" x14ac:dyDescent="0.25">
      <c r="A138" s="7" t="s">
        <v>867</v>
      </c>
      <c r="B138" s="7" t="s">
        <v>868</v>
      </c>
      <c r="C138" s="8">
        <v>11218355</v>
      </c>
      <c r="D138" s="9">
        <v>0</v>
      </c>
      <c r="E138" s="14"/>
      <c r="F138" s="27">
        <f t="shared" si="6"/>
        <v>0</v>
      </c>
      <c r="G138" s="17">
        <v>1200000</v>
      </c>
      <c r="H138" s="20"/>
      <c r="I138" s="6"/>
      <c r="J138" s="27">
        <f t="shared" si="7"/>
        <v>10018355</v>
      </c>
      <c r="K138" s="36">
        <v>1.4999999999999999E-2</v>
      </c>
      <c r="L138" s="27">
        <f t="shared" si="8"/>
        <v>150275.32499999998</v>
      </c>
    </row>
    <row r="139" spans="1:12" x14ac:dyDescent="0.25">
      <c r="A139" s="7" t="s">
        <v>313</v>
      </c>
      <c r="B139" s="7" t="s">
        <v>314</v>
      </c>
      <c r="C139" s="8">
        <v>10671149</v>
      </c>
      <c r="D139" s="9">
        <v>104605</v>
      </c>
      <c r="E139" s="14">
        <v>104605</v>
      </c>
      <c r="F139" s="27">
        <f t="shared" si="6"/>
        <v>0</v>
      </c>
      <c r="G139" s="14"/>
      <c r="H139" s="19">
        <v>330100</v>
      </c>
      <c r="I139" s="6"/>
      <c r="J139" s="27">
        <f t="shared" si="7"/>
        <v>10341049</v>
      </c>
      <c r="K139" s="36">
        <v>1.4999999999999999E-2</v>
      </c>
      <c r="L139" s="27">
        <f t="shared" si="8"/>
        <v>155115.73499999999</v>
      </c>
    </row>
    <row r="140" spans="1:12" x14ac:dyDescent="0.25">
      <c r="A140" s="7" t="s">
        <v>205</v>
      </c>
      <c r="B140" s="7" t="s">
        <v>206</v>
      </c>
      <c r="C140" s="8">
        <v>10621200</v>
      </c>
      <c r="D140" s="9">
        <v>0</v>
      </c>
      <c r="E140" s="14"/>
      <c r="F140" s="27">
        <f t="shared" si="6"/>
        <v>0</v>
      </c>
      <c r="G140" s="14"/>
      <c r="H140" s="20"/>
      <c r="I140" s="6"/>
      <c r="J140" s="27">
        <f t="shared" si="7"/>
        <v>10621200</v>
      </c>
      <c r="K140" s="36">
        <v>1.4999999999999999E-2</v>
      </c>
      <c r="L140" s="27">
        <f t="shared" si="8"/>
        <v>159318</v>
      </c>
    </row>
    <row r="141" spans="1:12" x14ac:dyDescent="0.25">
      <c r="A141" s="7" t="s">
        <v>657</v>
      </c>
      <c r="B141" s="7" t="s">
        <v>658</v>
      </c>
      <c r="C141" s="8">
        <v>10609531</v>
      </c>
      <c r="D141" s="9">
        <v>0</v>
      </c>
      <c r="E141" s="14"/>
      <c r="F141" s="27">
        <f t="shared" si="6"/>
        <v>0</v>
      </c>
      <c r="G141" s="14"/>
      <c r="H141" s="19">
        <v>444340.83</v>
      </c>
      <c r="I141" s="6"/>
      <c r="J141" s="27">
        <f t="shared" si="7"/>
        <v>10165190.17</v>
      </c>
      <c r="K141" s="36">
        <v>1.4999999999999999E-2</v>
      </c>
      <c r="L141" s="27">
        <f t="shared" si="8"/>
        <v>152477.85254999998</v>
      </c>
    </row>
    <row r="142" spans="1:12" x14ac:dyDescent="0.25">
      <c r="A142" s="7" t="s">
        <v>977</v>
      </c>
      <c r="B142" s="7" t="s">
        <v>978</v>
      </c>
      <c r="C142" s="8">
        <v>10514223</v>
      </c>
      <c r="D142" s="9">
        <v>0</v>
      </c>
      <c r="E142" s="14"/>
      <c r="F142" s="27">
        <f t="shared" si="6"/>
        <v>0</v>
      </c>
      <c r="G142" s="17">
        <v>32600</v>
      </c>
      <c r="H142" s="19">
        <v>462302.87</v>
      </c>
      <c r="I142" s="6"/>
      <c r="J142" s="27">
        <f t="shared" si="7"/>
        <v>10019320.130000001</v>
      </c>
      <c r="K142" s="36">
        <v>1.4999999999999999E-2</v>
      </c>
      <c r="L142" s="27">
        <f t="shared" si="8"/>
        <v>150289.80194999999</v>
      </c>
    </row>
    <row r="143" spans="1:12" x14ac:dyDescent="0.25">
      <c r="A143" s="7" t="s">
        <v>873</v>
      </c>
      <c r="B143" s="7" t="s">
        <v>874</v>
      </c>
      <c r="C143" s="8">
        <v>10401128</v>
      </c>
      <c r="D143" s="9">
        <v>356400</v>
      </c>
      <c r="E143" s="14"/>
      <c r="F143" s="27">
        <f t="shared" si="6"/>
        <v>356400</v>
      </c>
      <c r="G143" s="14"/>
      <c r="H143" s="19">
        <v>376771.9</v>
      </c>
      <c r="I143" s="6"/>
      <c r="J143" s="27">
        <f t="shared" si="7"/>
        <v>9667956.0999999996</v>
      </c>
      <c r="K143" s="34">
        <v>0.01</v>
      </c>
      <c r="L143" s="27">
        <f t="shared" si="8"/>
        <v>96679.561000000002</v>
      </c>
    </row>
    <row r="144" spans="1:12" x14ac:dyDescent="0.25">
      <c r="A144" s="7" t="s">
        <v>951</v>
      </c>
      <c r="B144" s="7" t="s">
        <v>952</v>
      </c>
      <c r="C144" s="8">
        <v>10105706</v>
      </c>
      <c r="D144" s="9">
        <v>0</v>
      </c>
      <c r="E144" s="14"/>
      <c r="F144" s="27">
        <f t="shared" si="6"/>
        <v>0</v>
      </c>
      <c r="G144" s="14"/>
      <c r="H144" s="19">
        <v>505284</v>
      </c>
      <c r="I144" s="6"/>
      <c r="J144" s="27">
        <f t="shared" si="7"/>
        <v>9600422</v>
      </c>
      <c r="K144" s="34">
        <v>0.01</v>
      </c>
      <c r="L144" s="27">
        <f t="shared" si="8"/>
        <v>96004.22</v>
      </c>
    </row>
    <row r="145" spans="1:12" x14ac:dyDescent="0.25">
      <c r="A145" s="7" t="s">
        <v>605</v>
      </c>
      <c r="B145" s="7" t="s">
        <v>606</v>
      </c>
      <c r="C145" s="8">
        <v>10041975</v>
      </c>
      <c r="D145" s="9">
        <v>0</v>
      </c>
      <c r="E145" s="14"/>
      <c r="F145" s="27">
        <f t="shared" si="6"/>
        <v>0</v>
      </c>
      <c r="G145" s="14"/>
      <c r="H145" s="20"/>
      <c r="I145" s="6"/>
      <c r="J145" s="27">
        <f t="shared" si="7"/>
        <v>10041975</v>
      </c>
      <c r="K145" s="36">
        <v>1.4999999999999999E-2</v>
      </c>
      <c r="L145" s="27">
        <f t="shared" si="8"/>
        <v>150629.625</v>
      </c>
    </row>
    <row r="146" spans="1:12" x14ac:dyDescent="0.25">
      <c r="A146" s="7" t="s">
        <v>433</v>
      </c>
      <c r="B146" s="7" t="s">
        <v>434</v>
      </c>
      <c r="C146" s="8">
        <v>9909174</v>
      </c>
      <c r="D146" s="9">
        <v>688644</v>
      </c>
      <c r="E146" s="14"/>
      <c r="F146" s="27">
        <f t="shared" si="6"/>
        <v>688644</v>
      </c>
      <c r="G146" s="14"/>
      <c r="H146" s="19">
        <v>469503.99</v>
      </c>
      <c r="I146" s="6"/>
      <c r="J146" s="27">
        <f t="shared" si="7"/>
        <v>8751026.0099999998</v>
      </c>
      <c r="K146" s="34">
        <v>0.01</v>
      </c>
      <c r="L146" s="27">
        <f t="shared" si="8"/>
        <v>87510.2601</v>
      </c>
    </row>
    <row r="147" spans="1:12" x14ac:dyDescent="0.25">
      <c r="A147" s="7" t="s">
        <v>725</v>
      </c>
      <c r="B147" s="7" t="s">
        <v>726</v>
      </c>
      <c r="C147" s="8">
        <v>9686608</v>
      </c>
      <c r="D147" s="9">
        <v>0</v>
      </c>
      <c r="E147" s="14"/>
      <c r="F147" s="27">
        <f t="shared" si="6"/>
        <v>0</v>
      </c>
      <c r="G147" s="14"/>
      <c r="H147" s="19">
        <v>123787.73</v>
      </c>
      <c r="I147" s="6"/>
      <c r="J147" s="27">
        <f t="shared" si="7"/>
        <v>9562820.2699999996</v>
      </c>
      <c r="K147" s="34">
        <v>0.01</v>
      </c>
      <c r="L147" s="27">
        <f t="shared" si="8"/>
        <v>95628.202699999994</v>
      </c>
    </row>
    <row r="148" spans="1:12" x14ac:dyDescent="0.25">
      <c r="A148" s="7" t="s">
        <v>875</v>
      </c>
      <c r="B148" s="7" t="s">
        <v>876</v>
      </c>
      <c r="C148" s="8">
        <v>9612501</v>
      </c>
      <c r="D148" s="9">
        <v>0</v>
      </c>
      <c r="E148" s="14"/>
      <c r="F148" s="27">
        <f t="shared" si="6"/>
        <v>0</v>
      </c>
      <c r="G148" s="14"/>
      <c r="H148" s="19">
        <v>466582</v>
      </c>
      <c r="I148" s="6"/>
      <c r="J148" s="27">
        <f t="shared" si="7"/>
        <v>9145919</v>
      </c>
      <c r="K148" s="34">
        <v>0.01</v>
      </c>
      <c r="L148" s="27">
        <f t="shared" si="8"/>
        <v>91459.19</v>
      </c>
    </row>
    <row r="149" spans="1:12" x14ac:dyDescent="0.25">
      <c r="A149" s="7" t="s">
        <v>929</v>
      </c>
      <c r="B149" s="7" t="s">
        <v>930</v>
      </c>
      <c r="C149" s="8">
        <v>9385667</v>
      </c>
      <c r="D149" s="9">
        <v>0</v>
      </c>
      <c r="E149" s="14"/>
      <c r="F149" s="27">
        <f t="shared" si="6"/>
        <v>0</v>
      </c>
      <c r="G149" s="14"/>
      <c r="H149" s="19">
        <v>400263.73</v>
      </c>
      <c r="I149" s="6"/>
      <c r="J149" s="27">
        <f t="shared" si="7"/>
        <v>8985403.2699999996</v>
      </c>
      <c r="K149" s="34">
        <v>0.01</v>
      </c>
      <c r="L149" s="27">
        <f t="shared" si="8"/>
        <v>89854.032699999996</v>
      </c>
    </row>
    <row r="150" spans="1:12" x14ac:dyDescent="0.25">
      <c r="A150" s="7" t="s">
        <v>545</v>
      </c>
      <c r="B150" s="7" t="s">
        <v>546</v>
      </c>
      <c r="C150" s="8">
        <v>9090012</v>
      </c>
      <c r="D150" s="9">
        <v>0</v>
      </c>
      <c r="E150" s="14"/>
      <c r="F150" s="27">
        <f t="shared" si="6"/>
        <v>0</v>
      </c>
      <c r="G150" s="17">
        <v>132000</v>
      </c>
      <c r="H150" s="19">
        <v>430562.3</v>
      </c>
      <c r="I150" s="6"/>
      <c r="J150" s="27">
        <f t="shared" si="7"/>
        <v>8527449.6999999993</v>
      </c>
      <c r="K150" s="34">
        <v>0.01</v>
      </c>
      <c r="L150" s="27">
        <f t="shared" si="8"/>
        <v>85274.496999999988</v>
      </c>
    </row>
    <row r="151" spans="1:12" x14ac:dyDescent="0.25">
      <c r="A151" s="7" t="s">
        <v>659</v>
      </c>
      <c r="B151" s="7" t="s">
        <v>660</v>
      </c>
      <c r="C151" s="8">
        <v>8831216</v>
      </c>
      <c r="D151" s="9">
        <v>0</v>
      </c>
      <c r="E151" s="14"/>
      <c r="F151" s="27">
        <f t="shared" si="6"/>
        <v>0</v>
      </c>
      <c r="G151" s="14"/>
      <c r="H151" s="19">
        <v>443780.36</v>
      </c>
      <c r="I151" s="6"/>
      <c r="J151" s="27">
        <f t="shared" si="7"/>
        <v>8387435.6399999997</v>
      </c>
      <c r="K151" s="34">
        <v>0.01</v>
      </c>
      <c r="L151" s="27">
        <f t="shared" si="8"/>
        <v>83874.356400000004</v>
      </c>
    </row>
    <row r="152" spans="1:12" x14ac:dyDescent="0.25">
      <c r="A152" s="7" t="s">
        <v>939</v>
      </c>
      <c r="B152" s="7" t="s">
        <v>940</v>
      </c>
      <c r="C152" s="8">
        <v>8613646</v>
      </c>
      <c r="D152" s="9">
        <v>0</v>
      </c>
      <c r="E152" s="14"/>
      <c r="F152" s="27">
        <f t="shared" si="6"/>
        <v>0</v>
      </c>
      <c r="G152" s="17">
        <v>218800</v>
      </c>
      <c r="H152" s="20"/>
      <c r="I152" s="6"/>
      <c r="J152" s="27">
        <f t="shared" si="7"/>
        <v>8394846</v>
      </c>
      <c r="K152" s="34">
        <v>0.01</v>
      </c>
      <c r="L152" s="27">
        <f t="shared" si="8"/>
        <v>83948.46</v>
      </c>
    </row>
    <row r="153" spans="1:12" x14ac:dyDescent="0.25">
      <c r="A153" s="7" t="s">
        <v>575</v>
      </c>
      <c r="B153" s="7" t="s">
        <v>576</v>
      </c>
      <c r="C153" s="8">
        <v>8608368</v>
      </c>
      <c r="D153" s="9">
        <v>0</v>
      </c>
      <c r="E153" s="14"/>
      <c r="F153" s="27">
        <f t="shared" si="6"/>
        <v>0</v>
      </c>
      <c r="G153" s="14"/>
      <c r="H153" s="20"/>
      <c r="I153" s="6"/>
      <c r="J153" s="27">
        <f t="shared" si="7"/>
        <v>8608368</v>
      </c>
      <c r="K153" s="34">
        <v>0.01</v>
      </c>
      <c r="L153" s="27">
        <f t="shared" si="8"/>
        <v>86083.680000000008</v>
      </c>
    </row>
    <row r="154" spans="1:12" x14ac:dyDescent="0.25">
      <c r="A154" s="7" t="s">
        <v>615</v>
      </c>
      <c r="B154" s="7" t="s">
        <v>616</v>
      </c>
      <c r="C154" s="8">
        <v>8475182</v>
      </c>
      <c r="D154" s="9">
        <v>0</v>
      </c>
      <c r="E154" s="14"/>
      <c r="F154" s="27">
        <f t="shared" si="6"/>
        <v>0</v>
      </c>
      <c r="G154" s="14"/>
      <c r="H154" s="19">
        <v>390638.55</v>
      </c>
      <c r="I154" s="6"/>
      <c r="J154" s="27">
        <f t="shared" si="7"/>
        <v>8084543.4500000002</v>
      </c>
      <c r="K154" s="34">
        <v>0.01</v>
      </c>
      <c r="L154" s="27">
        <f t="shared" si="8"/>
        <v>80845.434500000003</v>
      </c>
    </row>
    <row r="155" spans="1:12" x14ac:dyDescent="0.25">
      <c r="A155" s="7" t="s">
        <v>711</v>
      </c>
      <c r="B155" s="7" t="s">
        <v>712</v>
      </c>
      <c r="C155" s="8">
        <v>8304995</v>
      </c>
      <c r="D155" s="9">
        <v>3059855</v>
      </c>
      <c r="E155" s="14"/>
      <c r="F155" s="27">
        <f t="shared" si="6"/>
        <v>3059855</v>
      </c>
      <c r="G155" s="14"/>
      <c r="H155" s="19">
        <v>105867</v>
      </c>
      <c r="I155" s="6"/>
      <c r="J155" s="27">
        <f t="shared" si="7"/>
        <v>5139273</v>
      </c>
      <c r="K155" s="34">
        <v>0.01</v>
      </c>
      <c r="L155" s="27">
        <f t="shared" si="8"/>
        <v>51392.73</v>
      </c>
    </row>
    <row r="156" spans="1:12" x14ac:dyDescent="0.25">
      <c r="A156" s="7" t="s">
        <v>243</v>
      </c>
      <c r="B156" s="7" t="s">
        <v>244</v>
      </c>
      <c r="C156" s="8">
        <v>8262152</v>
      </c>
      <c r="D156" s="9">
        <v>0</v>
      </c>
      <c r="E156" s="14"/>
      <c r="F156" s="27">
        <f t="shared" si="6"/>
        <v>0</v>
      </c>
      <c r="G156" s="14"/>
      <c r="H156" s="19">
        <v>495729.88</v>
      </c>
      <c r="I156" s="6"/>
      <c r="J156" s="27">
        <f t="shared" si="7"/>
        <v>7766422.1200000001</v>
      </c>
      <c r="K156" s="34">
        <v>0.01</v>
      </c>
      <c r="L156" s="27">
        <f t="shared" si="8"/>
        <v>77664.2212</v>
      </c>
    </row>
    <row r="157" spans="1:12" x14ac:dyDescent="0.25">
      <c r="A157" s="7" t="s">
        <v>497</v>
      </c>
      <c r="B157" s="7" t="s">
        <v>498</v>
      </c>
      <c r="C157" s="8">
        <v>8109459</v>
      </c>
      <c r="D157" s="9">
        <v>823182</v>
      </c>
      <c r="E157" s="14">
        <v>714108</v>
      </c>
      <c r="F157" s="27">
        <f t="shared" si="6"/>
        <v>109074</v>
      </c>
      <c r="G157" s="14"/>
      <c r="H157" s="19">
        <v>703496.84</v>
      </c>
      <c r="I157" s="6"/>
      <c r="J157" s="27">
        <f t="shared" si="7"/>
        <v>7296888.1600000001</v>
      </c>
      <c r="K157" s="34">
        <v>0.01</v>
      </c>
      <c r="L157" s="27">
        <f t="shared" si="8"/>
        <v>72968.881600000008</v>
      </c>
    </row>
    <row r="158" spans="1:12" x14ac:dyDescent="0.25">
      <c r="A158" s="7" t="s">
        <v>439</v>
      </c>
      <c r="B158" s="7" t="s">
        <v>440</v>
      </c>
      <c r="C158" s="8">
        <v>8016070</v>
      </c>
      <c r="D158" s="9">
        <v>0</v>
      </c>
      <c r="E158" s="14"/>
      <c r="F158" s="27">
        <f t="shared" si="6"/>
        <v>0</v>
      </c>
      <c r="G158" s="14"/>
      <c r="H158" s="19">
        <v>168077.84</v>
      </c>
      <c r="I158" s="6"/>
      <c r="J158" s="27">
        <f t="shared" si="7"/>
        <v>7847992.1600000001</v>
      </c>
      <c r="K158" s="34">
        <v>0.01</v>
      </c>
      <c r="L158" s="27">
        <f t="shared" si="8"/>
        <v>78479.921600000001</v>
      </c>
    </row>
    <row r="159" spans="1:12" x14ac:dyDescent="0.25">
      <c r="A159" s="7" t="s">
        <v>377</v>
      </c>
      <c r="B159" s="7" t="s">
        <v>378</v>
      </c>
      <c r="C159" s="8">
        <v>8008800</v>
      </c>
      <c r="D159" s="9">
        <v>0</v>
      </c>
      <c r="E159" s="14"/>
      <c r="F159" s="27">
        <f t="shared" si="6"/>
        <v>0</v>
      </c>
      <c r="G159" s="14"/>
      <c r="H159" s="19">
        <v>400440</v>
      </c>
      <c r="I159" s="6"/>
      <c r="J159" s="27">
        <f t="shared" si="7"/>
        <v>7608360</v>
      </c>
      <c r="K159" s="34">
        <v>0.01</v>
      </c>
      <c r="L159" s="27">
        <f t="shared" si="8"/>
        <v>76083.600000000006</v>
      </c>
    </row>
    <row r="160" spans="1:12" x14ac:dyDescent="0.25">
      <c r="A160" s="7" t="s">
        <v>413</v>
      </c>
      <c r="B160" s="7" t="s">
        <v>414</v>
      </c>
      <c r="C160" s="8">
        <v>7937615</v>
      </c>
      <c r="D160" s="9">
        <v>0</v>
      </c>
      <c r="E160" s="14"/>
      <c r="F160" s="27">
        <f t="shared" si="6"/>
        <v>0</v>
      </c>
      <c r="G160" s="14"/>
      <c r="H160" s="19">
        <v>130807</v>
      </c>
      <c r="I160" s="6"/>
      <c r="J160" s="27">
        <f t="shared" si="7"/>
        <v>7806808</v>
      </c>
      <c r="K160" s="34">
        <v>0.01</v>
      </c>
      <c r="L160" s="27">
        <f t="shared" si="8"/>
        <v>78068.08</v>
      </c>
    </row>
    <row r="161" spans="1:12" x14ac:dyDescent="0.25">
      <c r="A161" s="7" t="s">
        <v>909</v>
      </c>
      <c r="B161" s="7" t="s">
        <v>910</v>
      </c>
      <c r="C161" s="8">
        <v>7931498</v>
      </c>
      <c r="D161" s="9">
        <v>0</v>
      </c>
      <c r="E161" s="14"/>
      <c r="F161" s="27">
        <f t="shared" si="6"/>
        <v>0</v>
      </c>
      <c r="G161" s="17">
        <v>257950</v>
      </c>
      <c r="H161" s="20"/>
      <c r="I161" s="6"/>
      <c r="J161" s="27">
        <f t="shared" si="7"/>
        <v>7673548</v>
      </c>
      <c r="K161" s="34">
        <v>0.01</v>
      </c>
      <c r="L161" s="27">
        <f t="shared" si="8"/>
        <v>76735.48</v>
      </c>
    </row>
    <row r="162" spans="1:12" x14ac:dyDescent="0.25">
      <c r="A162" s="7" t="s">
        <v>647</v>
      </c>
      <c r="B162" s="7" t="s">
        <v>648</v>
      </c>
      <c r="C162" s="8">
        <v>7927995.5</v>
      </c>
      <c r="D162" s="9">
        <v>253034</v>
      </c>
      <c r="E162" s="14">
        <v>253034</v>
      </c>
      <c r="F162" s="27">
        <f t="shared" si="6"/>
        <v>0</v>
      </c>
      <c r="G162" s="14"/>
      <c r="H162" s="20"/>
      <c r="I162" s="6"/>
      <c r="J162" s="27">
        <f t="shared" si="7"/>
        <v>7927995.5</v>
      </c>
      <c r="K162" s="34">
        <v>0.01</v>
      </c>
      <c r="L162" s="27">
        <f t="shared" si="8"/>
        <v>79279.955000000002</v>
      </c>
    </row>
    <row r="163" spans="1:12" x14ac:dyDescent="0.25">
      <c r="A163" s="7" t="s">
        <v>519</v>
      </c>
      <c r="B163" s="7" t="s">
        <v>520</v>
      </c>
      <c r="C163" s="8">
        <v>7883523</v>
      </c>
      <c r="D163" s="9">
        <v>0</v>
      </c>
      <c r="E163" s="14"/>
      <c r="F163" s="27">
        <f t="shared" si="6"/>
        <v>0</v>
      </c>
      <c r="G163" s="14"/>
      <c r="H163" s="20"/>
      <c r="I163" s="6"/>
      <c r="J163" s="27">
        <f t="shared" si="7"/>
        <v>7883523</v>
      </c>
      <c r="K163" s="34">
        <v>0.01</v>
      </c>
      <c r="L163" s="27">
        <f t="shared" si="8"/>
        <v>78835.23</v>
      </c>
    </row>
    <row r="164" spans="1:12" x14ac:dyDescent="0.25">
      <c r="A164" s="7" t="s">
        <v>235</v>
      </c>
      <c r="B164" s="7" t="s">
        <v>236</v>
      </c>
      <c r="C164" s="8">
        <v>7773334</v>
      </c>
      <c r="D164" s="9">
        <v>0</v>
      </c>
      <c r="E164" s="14"/>
      <c r="F164" s="27">
        <f t="shared" si="6"/>
        <v>0</v>
      </c>
      <c r="G164" s="14"/>
      <c r="H164" s="19">
        <v>23272</v>
      </c>
      <c r="I164" s="6"/>
      <c r="J164" s="27">
        <f t="shared" si="7"/>
        <v>7750062</v>
      </c>
      <c r="K164" s="34">
        <v>0.01</v>
      </c>
      <c r="L164" s="27">
        <f t="shared" si="8"/>
        <v>77500.62</v>
      </c>
    </row>
    <row r="165" spans="1:12" x14ac:dyDescent="0.25">
      <c r="A165" s="7" t="s">
        <v>257</v>
      </c>
      <c r="B165" s="7" t="s">
        <v>258</v>
      </c>
      <c r="C165" s="8">
        <v>7640000</v>
      </c>
      <c r="D165" s="9">
        <v>0</v>
      </c>
      <c r="E165" s="14"/>
      <c r="F165" s="27">
        <f t="shared" si="6"/>
        <v>0</v>
      </c>
      <c r="G165" s="14"/>
      <c r="H165" s="19">
        <v>368900</v>
      </c>
      <c r="I165" s="6"/>
      <c r="J165" s="27">
        <f t="shared" si="7"/>
        <v>7271100</v>
      </c>
      <c r="K165" s="34">
        <v>0.01</v>
      </c>
      <c r="L165" s="27">
        <f t="shared" si="8"/>
        <v>72711</v>
      </c>
    </row>
    <row r="166" spans="1:12" x14ac:dyDescent="0.25">
      <c r="A166" s="7" t="s">
        <v>889</v>
      </c>
      <c r="B166" s="7" t="s">
        <v>890</v>
      </c>
      <c r="C166" s="8">
        <v>7631640</v>
      </c>
      <c r="D166" s="9">
        <v>0</v>
      </c>
      <c r="E166" s="14"/>
      <c r="F166" s="27">
        <f t="shared" si="6"/>
        <v>0</v>
      </c>
      <c r="G166" s="17">
        <v>35000</v>
      </c>
      <c r="H166" s="19">
        <v>373587.6</v>
      </c>
      <c r="I166" s="6"/>
      <c r="J166" s="27">
        <f t="shared" si="7"/>
        <v>7223052.4000000004</v>
      </c>
      <c r="K166" s="34">
        <v>0.01</v>
      </c>
      <c r="L166" s="27">
        <f t="shared" si="8"/>
        <v>72230.524000000005</v>
      </c>
    </row>
    <row r="167" spans="1:12" x14ac:dyDescent="0.25">
      <c r="A167" s="7" t="s">
        <v>959</v>
      </c>
      <c r="B167" s="7" t="s">
        <v>960</v>
      </c>
      <c r="C167" s="8">
        <v>7610469</v>
      </c>
      <c r="D167" s="9">
        <v>107353</v>
      </c>
      <c r="E167" s="14">
        <v>107353</v>
      </c>
      <c r="F167" s="27">
        <f t="shared" si="6"/>
        <v>0</v>
      </c>
      <c r="G167" s="17">
        <v>761200</v>
      </c>
      <c r="H167" s="19">
        <v>487562.59</v>
      </c>
      <c r="I167" s="6"/>
      <c r="J167" s="27">
        <f t="shared" si="7"/>
        <v>6361706.4100000001</v>
      </c>
      <c r="K167" s="34">
        <v>0.01</v>
      </c>
      <c r="L167" s="27">
        <f t="shared" si="8"/>
        <v>63617.064100000003</v>
      </c>
    </row>
    <row r="168" spans="1:12" x14ac:dyDescent="0.25">
      <c r="A168" s="7" t="s">
        <v>535</v>
      </c>
      <c r="B168" s="7" t="s">
        <v>536</v>
      </c>
      <c r="C168" s="8">
        <v>7387004</v>
      </c>
      <c r="D168" s="9">
        <v>0</v>
      </c>
      <c r="E168" s="14"/>
      <c r="F168" s="27">
        <f t="shared" si="6"/>
        <v>0</v>
      </c>
      <c r="G168" s="14"/>
      <c r="H168" s="19">
        <v>320168.26</v>
      </c>
      <c r="I168" s="6"/>
      <c r="J168" s="27">
        <f t="shared" si="7"/>
        <v>7066835.7400000002</v>
      </c>
      <c r="K168" s="34">
        <v>0.01</v>
      </c>
      <c r="L168" s="27">
        <f t="shared" si="8"/>
        <v>70668.357400000008</v>
      </c>
    </row>
    <row r="169" spans="1:12" x14ac:dyDescent="0.25">
      <c r="A169" s="7" t="s">
        <v>415</v>
      </c>
      <c r="B169" s="7" t="s">
        <v>416</v>
      </c>
      <c r="C169" s="8">
        <v>7366806</v>
      </c>
      <c r="D169" s="9">
        <v>136204</v>
      </c>
      <c r="E169" s="14">
        <v>136204</v>
      </c>
      <c r="F169" s="27">
        <f t="shared" si="6"/>
        <v>0</v>
      </c>
      <c r="G169" s="17">
        <v>65200</v>
      </c>
      <c r="H169" s="20"/>
      <c r="I169" s="6"/>
      <c r="J169" s="27">
        <f t="shared" si="7"/>
        <v>7301606</v>
      </c>
      <c r="K169" s="34">
        <v>0.01</v>
      </c>
      <c r="L169" s="27">
        <f t="shared" si="8"/>
        <v>73016.06</v>
      </c>
    </row>
    <row r="170" spans="1:12" x14ac:dyDescent="0.25">
      <c r="A170" s="7" t="s">
        <v>1027</v>
      </c>
      <c r="B170" s="7" t="s">
        <v>1028</v>
      </c>
      <c r="C170" s="8">
        <v>7140145</v>
      </c>
      <c r="D170" s="9">
        <v>0</v>
      </c>
      <c r="E170" s="14"/>
      <c r="F170" s="27">
        <f t="shared" si="6"/>
        <v>0</v>
      </c>
      <c r="G170" s="17">
        <v>32600</v>
      </c>
      <c r="H170" s="19">
        <v>354377.55</v>
      </c>
      <c r="I170" s="6"/>
      <c r="J170" s="27">
        <f t="shared" si="7"/>
        <v>6753167.4500000002</v>
      </c>
      <c r="K170" s="34">
        <v>0.01</v>
      </c>
      <c r="L170" s="27">
        <f t="shared" si="8"/>
        <v>67531.674500000008</v>
      </c>
    </row>
    <row r="171" spans="1:12" x14ac:dyDescent="0.25">
      <c r="A171" s="7" t="s">
        <v>617</v>
      </c>
      <c r="B171" s="7" t="s">
        <v>618</v>
      </c>
      <c r="C171" s="8">
        <v>7105772</v>
      </c>
      <c r="D171" s="9">
        <v>112780</v>
      </c>
      <c r="E171" s="14">
        <v>112780</v>
      </c>
      <c r="F171" s="27">
        <f t="shared" si="6"/>
        <v>0</v>
      </c>
      <c r="G171" s="14"/>
      <c r="H171" s="19">
        <v>347619.51</v>
      </c>
      <c r="I171" s="6"/>
      <c r="J171" s="27">
        <f t="shared" si="7"/>
        <v>6758152.4900000002</v>
      </c>
      <c r="K171" s="34">
        <v>0.01</v>
      </c>
      <c r="L171" s="27">
        <f t="shared" si="8"/>
        <v>67581.524900000004</v>
      </c>
    </row>
    <row r="172" spans="1:12" x14ac:dyDescent="0.25">
      <c r="A172" s="7" t="s">
        <v>633</v>
      </c>
      <c r="B172" s="7" t="s">
        <v>634</v>
      </c>
      <c r="C172" s="8">
        <v>6886700</v>
      </c>
      <c r="D172" s="9">
        <v>0</v>
      </c>
      <c r="E172" s="14"/>
      <c r="F172" s="27">
        <f t="shared" si="6"/>
        <v>0</v>
      </c>
      <c r="G172" s="17">
        <v>44000</v>
      </c>
      <c r="H172" s="19">
        <v>317350</v>
      </c>
      <c r="I172" s="6"/>
      <c r="J172" s="27">
        <f t="shared" si="7"/>
        <v>6525350</v>
      </c>
      <c r="K172" s="34">
        <v>0.01</v>
      </c>
      <c r="L172" s="27">
        <f t="shared" si="8"/>
        <v>65253.5</v>
      </c>
    </row>
    <row r="173" spans="1:12" x14ac:dyDescent="0.25">
      <c r="A173" s="7" t="s">
        <v>191</v>
      </c>
      <c r="B173" s="7" t="s">
        <v>192</v>
      </c>
      <c r="C173" s="8">
        <v>6829243</v>
      </c>
      <c r="D173" s="9">
        <v>2798090</v>
      </c>
      <c r="E173" s="14">
        <v>2798090</v>
      </c>
      <c r="F173" s="27">
        <f t="shared" si="6"/>
        <v>0</v>
      </c>
      <c r="G173" s="17">
        <v>132000</v>
      </c>
      <c r="H173" s="19">
        <v>1805908.12</v>
      </c>
      <c r="I173" s="6"/>
      <c r="J173" s="27">
        <f t="shared" si="7"/>
        <v>4891334.88</v>
      </c>
      <c r="K173" s="34"/>
      <c r="L173" s="27">
        <f t="shared" si="8"/>
        <v>0</v>
      </c>
    </row>
    <row r="174" spans="1:12" x14ac:dyDescent="0.25">
      <c r="A174" s="7" t="s">
        <v>125</v>
      </c>
      <c r="B174" s="7" t="s">
        <v>126</v>
      </c>
      <c r="C174" s="8">
        <v>6791688</v>
      </c>
      <c r="D174" s="9">
        <v>0</v>
      </c>
      <c r="E174" s="14"/>
      <c r="F174" s="27">
        <f t="shared" si="6"/>
        <v>0</v>
      </c>
      <c r="G174" s="14"/>
      <c r="H174" s="19">
        <v>1000.08</v>
      </c>
      <c r="I174" s="6"/>
      <c r="J174" s="27">
        <f t="shared" si="7"/>
        <v>6790687.9199999999</v>
      </c>
      <c r="K174" s="34">
        <v>0.01</v>
      </c>
      <c r="L174" s="27">
        <f t="shared" si="8"/>
        <v>67906.879199999996</v>
      </c>
    </row>
    <row r="175" spans="1:12" x14ac:dyDescent="0.25">
      <c r="A175" s="7" t="s">
        <v>193</v>
      </c>
      <c r="B175" s="7" t="s">
        <v>194</v>
      </c>
      <c r="C175" s="8">
        <v>6746582</v>
      </c>
      <c r="D175" s="9">
        <v>880610</v>
      </c>
      <c r="E175" s="14">
        <v>880610</v>
      </c>
      <c r="F175" s="27">
        <f t="shared" si="6"/>
        <v>0</v>
      </c>
      <c r="G175" s="17">
        <v>227910</v>
      </c>
      <c r="H175" s="20"/>
      <c r="I175" s="6"/>
      <c r="J175" s="27">
        <f t="shared" si="7"/>
        <v>6518672</v>
      </c>
      <c r="K175" s="34">
        <v>0.01</v>
      </c>
      <c r="L175" s="27">
        <f t="shared" si="8"/>
        <v>65186.720000000001</v>
      </c>
    </row>
    <row r="176" spans="1:12" x14ac:dyDescent="0.25">
      <c r="A176" s="7" t="s">
        <v>979</v>
      </c>
      <c r="B176" s="7" t="s">
        <v>980</v>
      </c>
      <c r="C176" s="8">
        <v>6683745</v>
      </c>
      <c r="D176" s="9">
        <v>0</v>
      </c>
      <c r="E176" s="14"/>
      <c r="F176" s="27">
        <f t="shared" si="6"/>
        <v>0</v>
      </c>
      <c r="G176" s="17">
        <v>304900</v>
      </c>
      <c r="H176" s="19">
        <v>160509.59</v>
      </c>
      <c r="I176" s="6"/>
      <c r="J176" s="27">
        <f t="shared" si="7"/>
        <v>6218335.4100000001</v>
      </c>
      <c r="K176" s="34">
        <v>0.01</v>
      </c>
      <c r="L176" s="27">
        <f t="shared" si="8"/>
        <v>62183.354100000004</v>
      </c>
    </row>
    <row r="177" spans="1:12" x14ac:dyDescent="0.25">
      <c r="A177" s="7" t="s">
        <v>655</v>
      </c>
      <c r="B177" s="7" t="s">
        <v>656</v>
      </c>
      <c r="C177" s="8">
        <v>6566928</v>
      </c>
      <c r="D177" s="9">
        <v>0</v>
      </c>
      <c r="E177" s="14"/>
      <c r="F177" s="27">
        <f t="shared" si="6"/>
        <v>0</v>
      </c>
      <c r="G177" s="14"/>
      <c r="H177" s="19">
        <v>312943.49</v>
      </c>
      <c r="I177" s="6"/>
      <c r="J177" s="27">
        <f t="shared" si="7"/>
        <v>6253984.5099999998</v>
      </c>
      <c r="K177" s="34">
        <v>0.01</v>
      </c>
      <c r="L177" s="27">
        <f t="shared" si="8"/>
        <v>62539.845099999999</v>
      </c>
    </row>
    <row r="178" spans="1:12" x14ac:dyDescent="0.25">
      <c r="A178" s="7" t="s">
        <v>935</v>
      </c>
      <c r="B178" s="7" t="s">
        <v>936</v>
      </c>
      <c r="C178" s="8">
        <v>6461105</v>
      </c>
      <c r="D178" s="9">
        <v>279295</v>
      </c>
      <c r="E178" s="14">
        <v>279295</v>
      </c>
      <c r="F178" s="27">
        <f t="shared" si="6"/>
        <v>0</v>
      </c>
      <c r="G178" s="14"/>
      <c r="H178" s="19">
        <v>999977.63</v>
      </c>
      <c r="I178" s="6"/>
      <c r="J178" s="27">
        <f t="shared" si="7"/>
        <v>5461127.3700000001</v>
      </c>
      <c r="K178" s="34">
        <v>0.01</v>
      </c>
      <c r="L178" s="27">
        <f t="shared" si="8"/>
        <v>54611.273700000005</v>
      </c>
    </row>
    <row r="179" spans="1:12" x14ac:dyDescent="0.25">
      <c r="A179" s="7" t="s">
        <v>807</v>
      </c>
      <c r="B179" s="7" t="s">
        <v>808</v>
      </c>
      <c r="C179" s="8">
        <v>6456250</v>
      </c>
      <c r="D179" s="9">
        <v>0</v>
      </c>
      <c r="E179" s="14"/>
      <c r="F179" s="27">
        <f t="shared" si="6"/>
        <v>0</v>
      </c>
      <c r="G179" s="14"/>
      <c r="H179" s="19">
        <v>135582.5</v>
      </c>
      <c r="I179" s="6"/>
      <c r="J179" s="27">
        <f t="shared" si="7"/>
        <v>6320667.5</v>
      </c>
      <c r="K179" s="34">
        <v>0.01</v>
      </c>
      <c r="L179" s="27">
        <f t="shared" si="8"/>
        <v>63206.675000000003</v>
      </c>
    </row>
    <row r="180" spans="1:12" x14ac:dyDescent="0.25">
      <c r="A180" s="7" t="s">
        <v>495</v>
      </c>
      <c r="B180" s="7" t="s">
        <v>496</v>
      </c>
      <c r="C180" s="8">
        <v>6433017</v>
      </c>
      <c r="D180" s="9">
        <v>0</v>
      </c>
      <c r="E180" s="14"/>
      <c r="F180" s="27">
        <f t="shared" si="6"/>
        <v>0</v>
      </c>
      <c r="G180" s="14"/>
      <c r="H180" s="19">
        <v>281880.14</v>
      </c>
      <c r="I180" s="6"/>
      <c r="J180" s="27">
        <f t="shared" si="7"/>
        <v>6151136.8600000003</v>
      </c>
      <c r="K180" s="34">
        <v>0.01</v>
      </c>
      <c r="L180" s="27">
        <f t="shared" si="8"/>
        <v>61511.368600000002</v>
      </c>
    </row>
    <row r="181" spans="1:12" x14ac:dyDescent="0.25">
      <c r="A181" s="7" t="s">
        <v>855</v>
      </c>
      <c r="B181" s="7" t="s">
        <v>856</v>
      </c>
      <c r="C181" s="8">
        <v>6416382</v>
      </c>
      <c r="D181" s="9">
        <v>0</v>
      </c>
      <c r="E181" s="14"/>
      <c r="F181" s="27">
        <f t="shared" si="6"/>
        <v>0</v>
      </c>
      <c r="G181" s="14"/>
      <c r="H181" s="19">
        <v>271993.28000000003</v>
      </c>
      <c r="I181" s="6"/>
      <c r="J181" s="27">
        <f t="shared" si="7"/>
        <v>6144388.7199999997</v>
      </c>
      <c r="K181" s="34">
        <v>0.01</v>
      </c>
      <c r="L181" s="27">
        <f t="shared" si="8"/>
        <v>61443.887199999997</v>
      </c>
    </row>
    <row r="182" spans="1:12" x14ac:dyDescent="0.25">
      <c r="A182" s="7" t="s">
        <v>507</v>
      </c>
      <c r="B182" s="7" t="s">
        <v>508</v>
      </c>
      <c r="C182" s="8">
        <v>6403006</v>
      </c>
      <c r="D182" s="9">
        <v>252874</v>
      </c>
      <c r="E182" s="14">
        <v>252874</v>
      </c>
      <c r="F182" s="27">
        <f t="shared" si="6"/>
        <v>0</v>
      </c>
      <c r="G182" s="17">
        <v>137650</v>
      </c>
      <c r="H182" s="19">
        <v>770120.09</v>
      </c>
      <c r="I182" s="6"/>
      <c r="J182" s="27">
        <f t="shared" si="7"/>
        <v>5495235.9100000001</v>
      </c>
      <c r="K182" s="34">
        <v>0.01</v>
      </c>
      <c r="L182" s="27">
        <f t="shared" si="8"/>
        <v>54952.359100000001</v>
      </c>
    </row>
    <row r="183" spans="1:12" x14ac:dyDescent="0.25">
      <c r="A183" s="7" t="s">
        <v>947</v>
      </c>
      <c r="B183" s="7" t="s">
        <v>948</v>
      </c>
      <c r="C183" s="8">
        <v>6402802.2000000002</v>
      </c>
      <c r="D183" s="9">
        <v>0</v>
      </c>
      <c r="E183" s="14"/>
      <c r="F183" s="27">
        <f t="shared" si="6"/>
        <v>0</v>
      </c>
      <c r="G183" s="14"/>
      <c r="H183" s="19">
        <v>194394.12</v>
      </c>
      <c r="I183" s="6"/>
      <c r="J183" s="27">
        <f t="shared" si="7"/>
        <v>6208408.0800000001</v>
      </c>
      <c r="K183" s="34">
        <v>0.01</v>
      </c>
      <c r="L183" s="27">
        <f t="shared" si="8"/>
        <v>62084.080800000003</v>
      </c>
    </row>
    <row r="184" spans="1:12" x14ac:dyDescent="0.25">
      <c r="A184" s="7" t="s">
        <v>589</v>
      </c>
      <c r="B184" s="7" t="s">
        <v>590</v>
      </c>
      <c r="C184" s="8">
        <v>6214579</v>
      </c>
      <c r="D184" s="9">
        <v>0</v>
      </c>
      <c r="E184" s="14"/>
      <c r="F184" s="27">
        <f t="shared" si="6"/>
        <v>0</v>
      </c>
      <c r="G184" s="14"/>
      <c r="H184" s="19">
        <v>283854</v>
      </c>
      <c r="I184" s="6"/>
      <c r="J184" s="27">
        <f t="shared" si="7"/>
        <v>5930725</v>
      </c>
      <c r="K184" s="34">
        <v>0.01</v>
      </c>
      <c r="L184" s="27">
        <f t="shared" si="8"/>
        <v>59307.25</v>
      </c>
    </row>
    <row r="185" spans="1:12" x14ac:dyDescent="0.25">
      <c r="A185" s="7" t="s">
        <v>933</v>
      </c>
      <c r="B185" s="7" t="s">
        <v>934</v>
      </c>
      <c r="C185" s="8">
        <v>6158160</v>
      </c>
      <c r="D185" s="9">
        <v>2850</v>
      </c>
      <c r="E185" s="14"/>
      <c r="F185" s="27">
        <f t="shared" si="6"/>
        <v>2850</v>
      </c>
      <c r="G185" s="14"/>
      <c r="H185" s="19">
        <v>246782.82</v>
      </c>
      <c r="I185" s="6"/>
      <c r="J185" s="27">
        <f t="shared" si="7"/>
        <v>5908527.1799999997</v>
      </c>
      <c r="K185" s="34">
        <v>0.01</v>
      </c>
      <c r="L185" s="27">
        <f t="shared" si="8"/>
        <v>59085.271799999995</v>
      </c>
    </row>
    <row r="186" spans="1:12" x14ac:dyDescent="0.25">
      <c r="A186" s="7" t="s">
        <v>121</v>
      </c>
      <c r="B186" s="7" t="s">
        <v>122</v>
      </c>
      <c r="C186" s="8">
        <v>5799991</v>
      </c>
      <c r="D186" s="9">
        <v>0</v>
      </c>
      <c r="E186" s="14"/>
      <c r="F186" s="27">
        <f t="shared" si="6"/>
        <v>0</v>
      </c>
      <c r="G186" s="17">
        <v>94000</v>
      </c>
      <c r="H186" s="19">
        <v>222763.29</v>
      </c>
      <c r="I186" s="6"/>
      <c r="J186" s="27">
        <f t="shared" si="7"/>
        <v>5483227.71</v>
      </c>
      <c r="K186" s="34">
        <v>0.01</v>
      </c>
      <c r="L186" s="27">
        <f t="shared" si="8"/>
        <v>54832.277099999999</v>
      </c>
    </row>
    <row r="187" spans="1:12" x14ac:dyDescent="0.25">
      <c r="A187" s="7" t="s">
        <v>1001</v>
      </c>
      <c r="B187" s="7" t="s">
        <v>1002</v>
      </c>
      <c r="C187" s="8">
        <v>5707600</v>
      </c>
      <c r="D187" s="9">
        <v>0</v>
      </c>
      <c r="E187" s="14"/>
      <c r="F187" s="27">
        <f t="shared" si="6"/>
        <v>0</v>
      </c>
      <c r="G187" s="14"/>
      <c r="H187" s="20"/>
      <c r="I187" s="6"/>
      <c r="J187" s="27">
        <f t="shared" si="7"/>
        <v>5707600</v>
      </c>
      <c r="K187" s="34">
        <v>0.01</v>
      </c>
      <c r="L187" s="27">
        <f t="shared" si="8"/>
        <v>57076</v>
      </c>
    </row>
    <row r="188" spans="1:12" x14ac:dyDescent="0.25">
      <c r="A188" s="7" t="s">
        <v>755</v>
      </c>
      <c r="B188" s="7" t="s">
        <v>756</v>
      </c>
      <c r="C188" s="8">
        <v>5674131</v>
      </c>
      <c r="D188" s="9">
        <v>0</v>
      </c>
      <c r="E188" s="14"/>
      <c r="F188" s="27">
        <f t="shared" si="6"/>
        <v>0</v>
      </c>
      <c r="G188" s="14"/>
      <c r="H188" s="19">
        <v>176453.29</v>
      </c>
      <c r="I188" s="6"/>
      <c r="J188" s="27">
        <f t="shared" si="7"/>
        <v>5497677.71</v>
      </c>
      <c r="K188" s="34">
        <v>0.01</v>
      </c>
      <c r="L188" s="27">
        <f t="shared" si="8"/>
        <v>54976.777099999999</v>
      </c>
    </row>
    <row r="189" spans="1:12" x14ac:dyDescent="0.25">
      <c r="A189" s="7" t="s">
        <v>41</v>
      </c>
      <c r="B189" s="7" t="s">
        <v>42</v>
      </c>
      <c r="C189" s="8">
        <v>5442428</v>
      </c>
      <c r="D189" s="9">
        <v>0</v>
      </c>
      <c r="E189" s="14"/>
      <c r="F189" s="27">
        <f t="shared" si="6"/>
        <v>0</v>
      </c>
      <c r="G189" s="14"/>
      <c r="H189" s="19">
        <v>135592.5</v>
      </c>
      <c r="I189" s="6"/>
      <c r="J189" s="27">
        <f t="shared" si="7"/>
        <v>5306835.5</v>
      </c>
      <c r="K189" s="34">
        <v>0.01</v>
      </c>
      <c r="L189" s="27">
        <f t="shared" si="8"/>
        <v>53068.355000000003</v>
      </c>
    </row>
    <row r="190" spans="1:12" x14ac:dyDescent="0.25">
      <c r="A190" s="7" t="s">
        <v>355</v>
      </c>
      <c r="B190" s="7" t="s">
        <v>356</v>
      </c>
      <c r="C190" s="8">
        <v>5397641</v>
      </c>
      <c r="D190" s="9">
        <v>282744</v>
      </c>
      <c r="E190" s="14"/>
      <c r="F190" s="27">
        <f t="shared" si="6"/>
        <v>282744</v>
      </c>
      <c r="G190" s="14"/>
      <c r="H190" s="19">
        <v>170058.43</v>
      </c>
      <c r="I190" s="6"/>
      <c r="J190" s="27">
        <f t="shared" si="7"/>
        <v>4944838.57</v>
      </c>
      <c r="K190" s="34"/>
      <c r="L190" s="27">
        <f t="shared" si="8"/>
        <v>0</v>
      </c>
    </row>
    <row r="191" spans="1:12" x14ac:dyDescent="0.25">
      <c r="A191" s="7" t="s">
        <v>551</v>
      </c>
      <c r="B191" s="7" t="s">
        <v>552</v>
      </c>
      <c r="C191" s="8">
        <v>5363275</v>
      </c>
      <c r="D191" s="9">
        <v>0</v>
      </c>
      <c r="E191" s="14"/>
      <c r="F191" s="27">
        <f t="shared" si="6"/>
        <v>0</v>
      </c>
      <c r="G191" s="14"/>
      <c r="H191" s="19">
        <v>256974.73</v>
      </c>
      <c r="I191" s="6"/>
      <c r="J191" s="27">
        <f t="shared" si="7"/>
        <v>5106300.2699999996</v>
      </c>
      <c r="K191" s="34">
        <v>0.01</v>
      </c>
      <c r="L191" s="27">
        <f t="shared" si="8"/>
        <v>51063.002699999997</v>
      </c>
    </row>
    <row r="192" spans="1:12" x14ac:dyDescent="0.25">
      <c r="A192" s="7" t="s">
        <v>811</v>
      </c>
      <c r="B192" s="7" t="s">
        <v>812</v>
      </c>
      <c r="C192" s="8">
        <v>5313764</v>
      </c>
      <c r="D192" s="9">
        <v>0</v>
      </c>
      <c r="E192" s="14"/>
      <c r="F192" s="27">
        <f t="shared" si="6"/>
        <v>0</v>
      </c>
      <c r="G192" s="14"/>
      <c r="H192" s="19">
        <v>262297.86</v>
      </c>
      <c r="I192" s="6"/>
      <c r="J192" s="27">
        <f t="shared" si="7"/>
        <v>5051466.1399999997</v>
      </c>
      <c r="K192" s="34">
        <v>0.01</v>
      </c>
      <c r="L192" s="27">
        <f t="shared" si="8"/>
        <v>50514.661399999997</v>
      </c>
    </row>
    <row r="193" spans="1:12" x14ac:dyDescent="0.25">
      <c r="A193" s="7" t="s">
        <v>59</v>
      </c>
      <c r="B193" s="7" t="s">
        <v>60</v>
      </c>
      <c r="C193" s="8">
        <v>5311294</v>
      </c>
      <c r="D193" s="9">
        <v>101945</v>
      </c>
      <c r="E193" s="14"/>
      <c r="F193" s="27">
        <f t="shared" si="6"/>
        <v>101945</v>
      </c>
      <c r="G193" s="17">
        <v>130815</v>
      </c>
      <c r="H193" s="19">
        <v>180209.52</v>
      </c>
      <c r="I193" s="6"/>
      <c r="J193" s="27">
        <f t="shared" si="7"/>
        <v>4898324.4800000004</v>
      </c>
      <c r="K193" s="34"/>
      <c r="L193" s="27">
        <f t="shared" si="8"/>
        <v>0</v>
      </c>
    </row>
    <row r="194" spans="1:12" x14ac:dyDescent="0.25">
      <c r="A194" s="7" t="s">
        <v>723</v>
      </c>
      <c r="B194" s="7" t="s">
        <v>724</v>
      </c>
      <c r="C194" s="8">
        <v>5181364</v>
      </c>
      <c r="D194" s="9">
        <v>0</v>
      </c>
      <c r="E194" s="14"/>
      <c r="F194" s="27">
        <f t="shared" si="6"/>
        <v>0</v>
      </c>
      <c r="G194" s="14"/>
      <c r="H194" s="20"/>
      <c r="I194" s="6"/>
      <c r="J194" s="27">
        <f t="shared" si="7"/>
        <v>5181364</v>
      </c>
      <c r="K194" s="34">
        <v>0.01</v>
      </c>
      <c r="L194" s="27">
        <f t="shared" si="8"/>
        <v>51813.64</v>
      </c>
    </row>
    <row r="195" spans="1:12" x14ac:dyDescent="0.25">
      <c r="A195" s="7" t="s">
        <v>133</v>
      </c>
      <c r="B195" s="7" t="s">
        <v>134</v>
      </c>
      <c r="C195" s="8">
        <v>5129742</v>
      </c>
      <c r="D195" s="9">
        <v>0</v>
      </c>
      <c r="E195" s="14"/>
      <c r="F195" s="27">
        <f t="shared" ref="F195:F196" si="9">D195-E195</f>
        <v>0</v>
      </c>
      <c r="G195" s="14"/>
      <c r="H195" s="19">
        <v>255690</v>
      </c>
      <c r="I195" s="6"/>
      <c r="J195" s="27">
        <f t="shared" ref="J195:J196" si="10">C195-F195-G195-H195-I195</f>
        <v>4874052</v>
      </c>
      <c r="K195" s="34"/>
      <c r="L195" s="27">
        <f t="shared" ref="L195:L196" si="11">J195*K195</f>
        <v>0</v>
      </c>
    </row>
    <row r="196" spans="1:12" x14ac:dyDescent="0.25">
      <c r="A196" s="7" t="s">
        <v>877</v>
      </c>
      <c r="B196" s="7" t="s">
        <v>878</v>
      </c>
      <c r="C196" s="8">
        <v>5129395</v>
      </c>
      <c r="D196" s="9">
        <v>0</v>
      </c>
      <c r="E196" s="14"/>
      <c r="F196" s="27">
        <f t="shared" si="9"/>
        <v>0</v>
      </c>
      <c r="G196" s="14"/>
      <c r="H196" s="20"/>
      <c r="I196" s="6"/>
      <c r="J196" s="27">
        <f t="shared" si="10"/>
        <v>5129395</v>
      </c>
      <c r="K196" s="34">
        <v>0.01</v>
      </c>
      <c r="L196" s="27">
        <f t="shared" si="11"/>
        <v>51293.950000000004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opLeftCell="A19" workbookViewId="0">
      <selection activeCell="V66" sqref="V66"/>
    </sheetView>
  </sheetViews>
  <sheetFormatPr baseColWidth="10" defaultRowHeight="13.5" x14ac:dyDescent="0.25"/>
  <cols>
    <col min="2" max="2" width="36.5" bestFit="1" customWidth="1"/>
    <col min="3" max="3" width="20" style="49" hidden="1" customWidth="1"/>
    <col min="4" max="4" width="12.875" hidden="1" customWidth="1"/>
    <col min="5" max="5" width="16" hidden="1" customWidth="1"/>
    <col min="6" max="6" width="18" hidden="1" customWidth="1"/>
    <col min="7" max="7" width="11.875" hidden="1" customWidth="1"/>
    <col min="8" max="9" width="12.875" hidden="1" customWidth="1"/>
    <col min="10" max="10" width="17" hidden="1" customWidth="1"/>
    <col min="11" max="11" width="0" hidden="1" customWidth="1"/>
    <col min="12" max="12" width="12.875" hidden="1" customWidth="1"/>
    <col min="13" max="13" width="0" hidden="1" customWidth="1"/>
    <col min="14" max="14" width="16" bestFit="1" customWidth="1"/>
  </cols>
  <sheetData>
    <row r="1" spans="1:14" x14ac:dyDescent="0.25">
      <c r="A1" s="21" t="s">
        <v>7</v>
      </c>
      <c r="B1" s="21" t="s">
        <v>8</v>
      </c>
      <c r="C1" s="22" t="s">
        <v>1039</v>
      </c>
      <c r="D1" s="22" t="s">
        <v>1029</v>
      </c>
      <c r="E1" s="22" t="s">
        <v>1038</v>
      </c>
      <c r="F1" s="23" t="s">
        <v>1030</v>
      </c>
      <c r="G1" s="24" t="s">
        <v>1031</v>
      </c>
      <c r="H1" s="25" t="s">
        <v>1032</v>
      </c>
      <c r="I1" s="23" t="s">
        <v>1033</v>
      </c>
      <c r="J1" s="23" t="s">
        <v>1034</v>
      </c>
      <c r="K1" s="23" t="s">
        <v>1035</v>
      </c>
      <c r="L1" s="23" t="s">
        <v>1036</v>
      </c>
      <c r="M1" s="23" t="s">
        <v>1037</v>
      </c>
      <c r="N1" s="42" t="s">
        <v>1040</v>
      </c>
    </row>
    <row r="2" spans="1:14" x14ac:dyDescent="0.25">
      <c r="A2" s="7" t="s">
        <v>239</v>
      </c>
      <c r="B2" s="7" t="s">
        <v>240</v>
      </c>
      <c r="C2" s="48">
        <v>441922826</v>
      </c>
      <c r="D2" s="9">
        <v>7949260</v>
      </c>
      <c r="E2" s="14">
        <v>7920916</v>
      </c>
      <c r="F2" s="27">
        <f>D2-E2</f>
        <v>28344</v>
      </c>
      <c r="G2" s="17">
        <v>115200</v>
      </c>
      <c r="H2" s="19">
        <v>24847794.149999999</v>
      </c>
      <c r="I2" s="19">
        <v>7000000</v>
      </c>
      <c r="J2" s="27">
        <f>C2-F2-G2-H2-I2</f>
        <v>409931487.85000002</v>
      </c>
      <c r="K2" s="34">
        <v>0.06</v>
      </c>
      <c r="L2" s="27">
        <f>J2*K2</f>
        <v>24595889.271000002</v>
      </c>
      <c r="M2" s="6"/>
      <c r="N2" s="43">
        <f>J2*0.7%</f>
        <v>2869520.4149499997</v>
      </c>
    </row>
    <row r="3" spans="1:14" x14ac:dyDescent="0.25">
      <c r="A3" s="7" t="s">
        <v>201</v>
      </c>
      <c r="B3" s="7" t="s">
        <v>202</v>
      </c>
      <c r="C3" s="48">
        <v>400195434.55000001</v>
      </c>
      <c r="D3" s="9">
        <v>43241437</v>
      </c>
      <c r="E3" s="14">
        <v>14765131</v>
      </c>
      <c r="F3" s="27">
        <f t="shared" ref="F3:F50" si="0">D3-E3</f>
        <v>28476306</v>
      </c>
      <c r="G3" s="17">
        <v>1280690</v>
      </c>
      <c r="H3" s="19">
        <v>9534856.0199999996</v>
      </c>
      <c r="I3" s="6"/>
      <c r="J3" s="27">
        <f t="shared" ref="J3:J50" si="1">C3-F3-G3-H3-I3</f>
        <v>360903582.53000003</v>
      </c>
      <c r="K3" s="34">
        <v>0.06</v>
      </c>
      <c r="L3" s="27">
        <f t="shared" ref="L3:L50" si="2">J3*K3</f>
        <v>21654214.9518</v>
      </c>
      <c r="M3" s="6"/>
      <c r="N3" s="43">
        <f t="shared" ref="N3:N50" si="3">J3*0.7%</f>
        <v>2526325.0777099999</v>
      </c>
    </row>
    <row r="4" spans="1:14" x14ac:dyDescent="0.25">
      <c r="A4" s="7" t="s">
        <v>817</v>
      </c>
      <c r="B4" s="7" t="s">
        <v>818</v>
      </c>
      <c r="C4" s="48">
        <v>215572134</v>
      </c>
      <c r="D4" s="9">
        <v>22502652</v>
      </c>
      <c r="E4" s="14">
        <v>14422490</v>
      </c>
      <c r="F4" s="27">
        <f t="shared" si="0"/>
        <v>8080162</v>
      </c>
      <c r="G4" s="17">
        <v>308366</v>
      </c>
      <c r="H4" s="19">
        <v>4623373.1900000004</v>
      </c>
      <c r="I4" s="6"/>
      <c r="J4" s="27">
        <f t="shared" si="1"/>
        <v>202560232.81</v>
      </c>
      <c r="K4" s="34">
        <v>0.06</v>
      </c>
      <c r="L4" s="27">
        <f t="shared" si="2"/>
        <v>12153613.968599999</v>
      </c>
      <c r="M4" s="6">
        <v>31226</v>
      </c>
      <c r="N4" s="43">
        <f t="shared" si="3"/>
        <v>1417921.6296699999</v>
      </c>
    </row>
    <row r="5" spans="1:14" x14ac:dyDescent="0.25">
      <c r="A5" s="7" t="s">
        <v>297</v>
      </c>
      <c r="B5" s="7" t="s">
        <v>298</v>
      </c>
      <c r="C5" s="48">
        <v>206962625.19999999</v>
      </c>
      <c r="D5" s="9">
        <v>921783</v>
      </c>
      <c r="E5" s="14">
        <v>776148</v>
      </c>
      <c r="F5" s="27">
        <f t="shared" si="0"/>
        <v>145635</v>
      </c>
      <c r="G5" s="14"/>
      <c r="H5" s="19">
        <v>5880050</v>
      </c>
      <c r="I5" s="6"/>
      <c r="J5" s="27">
        <f t="shared" si="1"/>
        <v>200936940.19999999</v>
      </c>
      <c r="K5" s="34">
        <v>0.06</v>
      </c>
      <c r="L5" s="27">
        <f t="shared" si="2"/>
        <v>12056216.411999999</v>
      </c>
      <c r="M5" s="6">
        <v>31227</v>
      </c>
      <c r="N5" s="43">
        <f t="shared" si="3"/>
        <v>1406558.5813999998</v>
      </c>
    </row>
    <row r="6" spans="1:14" x14ac:dyDescent="0.25">
      <c r="A6" s="7" t="s">
        <v>463</v>
      </c>
      <c r="B6" s="7" t="s">
        <v>464</v>
      </c>
      <c r="C6" s="48">
        <v>205210850</v>
      </c>
      <c r="D6" s="9">
        <v>18691098</v>
      </c>
      <c r="E6" s="14">
        <v>5704757</v>
      </c>
      <c r="F6" s="27">
        <f t="shared" si="0"/>
        <v>12986341</v>
      </c>
      <c r="G6" s="17">
        <v>3700400</v>
      </c>
      <c r="H6" s="19">
        <v>5821456.21</v>
      </c>
      <c r="I6" s="6"/>
      <c r="J6" s="27">
        <f t="shared" si="1"/>
        <v>182702652.78999999</v>
      </c>
      <c r="K6" s="34">
        <v>0.05</v>
      </c>
      <c r="L6" s="27">
        <f t="shared" si="2"/>
        <v>9135132.6394999996</v>
      </c>
      <c r="M6" s="6">
        <v>31228</v>
      </c>
      <c r="N6" s="43">
        <f t="shared" si="3"/>
        <v>1278918.5695299997</v>
      </c>
    </row>
    <row r="7" spans="1:14" x14ac:dyDescent="0.25">
      <c r="A7" s="7" t="s">
        <v>707</v>
      </c>
      <c r="B7" s="7" t="s">
        <v>708</v>
      </c>
      <c r="C7" s="48">
        <v>173539294.5</v>
      </c>
      <c r="D7" s="9">
        <v>5783543</v>
      </c>
      <c r="E7" s="14">
        <v>2980371</v>
      </c>
      <c r="F7" s="27">
        <f t="shared" si="0"/>
        <v>2803172</v>
      </c>
      <c r="G7" s="14"/>
      <c r="H7" s="19">
        <v>3417547.08</v>
      </c>
      <c r="I7" s="6"/>
      <c r="J7" s="27">
        <f t="shared" si="1"/>
        <v>167318575.41999999</v>
      </c>
      <c r="K7" s="34">
        <v>0.05</v>
      </c>
      <c r="L7" s="27">
        <f t="shared" si="2"/>
        <v>8365928.7709999997</v>
      </c>
      <c r="M7" s="6">
        <v>31229</v>
      </c>
      <c r="N7" s="43">
        <f t="shared" si="3"/>
        <v>1171230.0279399997</v>
      </c>
    </row>
    <row r="8" spans="1:14" x14ac:dyDescent="0.25">
      <c r="A8" s="7" t="s">
        <v>503</v>
      </c>
      <c r="B8" s="7" t="s">
        <v>504</v>
      </c>
      <c r="C8" s="48">
        <v>163711180</v>
      </c>
      <c r="D8" s="9">
        <v>17266138</v>
      </c>
      <c r="E8" s="14"/>
      <c r="F8" s="27">
        <f t="shared" si="0"/>
        <v>17266138</v>
      </c>
      <c r="G8" s="17">
        <v>54900</v>
      </c>
      <c r="H8" s="19">
        <v>1369207</v>
      </c>
      <c r="I8" s="6"/>
      <c r="J8" s="27">
        <f t="shared" si="1"/>
        <v>145020935</v>
      </c>
      <c r="K8" s="34">
        <v>0.04</v>
      </c>
      <c r="L8" s="27">
        <f t="shared" si="2"/>
        <v>5800837.4000000004</v>
      </c>
      <c r="M8" s="6">
        <v>31230</v>
      </c>
      <c r="N8" s="43">
        <f t="shared" si="3"/>
        <v>1015146.5449999999</v>
      </c>
    </row>
    <row r="9" spans="1:14" x14ac:dyDescent="0.25">
      <c r="A9" s="7" t="s">
        <v>639</v>
      </c>
      <c r="B9" s="7" t="s">
        <v>640</v>
      </c>
      <c r="C9" s="48">
        <v>162807159.08000001</v>
      </c>
      <c r="D9" s="9">
        <v>16315008</v>
      </c>
      <c r="E9" s="14">
        <v>6514746</v>
      </c>
      <c r="F9" s="27">
        <f t="shared" si="0"/>
        <v>9800262</v>
      </c>
      <c r="G9" s="14"/>
      <c r="H9" s="19">
        <v>4808352.3600000003</v>
      </c>
      <c r="I9" s="6"/>
      <c r="J9" s="27">
        <f t="shared" si="1"/>
        <v>148198544.72</v>
      </c>
      <c r="K9" s="34">
        <v>0.04</v>
      </c>
      <c r="L9" s="27">
        <f t="shared" si="2"/>
        <v>5927941.7888000002</v>
      </c>
      <c r="M9" s="6">
        <v>31231</v>
      </c>
      <c r="N9" s="43">
        <f t="shared" si="3"/>
        <v>1037389.8130399999</v>
      </c>
    </row>
    <row r="10" spans="1:14" x14ac:dyDescent="0.25">
      <c r="A10" s="7" t="s">
        <v>197</v>
      </c>
      <c r="B10" s="7" t="s">
        <v>198</v>
      </c>
      <c r="C10" s="48">
        <v>156269255</v>
      </c>
      <c r="D10" s="9">
        <v>16712844</v>
      </c>
      <c r="E10" s="14">
        <v>3379225</v>
      </c>
      <c r="F10" s="27">
        <f t="shared" si="0"/>
        <v>13333619</v>
      </c>
      <c r="G10" s="17">
        <v>382086</v>
      </c>
      <c r="H10" s="20"/>
      <c r="I10" s="6"/>
      <c r="J10" s="27">
        <f t="shared" si="1"/>
        <v>142553550</v>
      </c>
      <c r="K10" s="34">
        <v>0.04</v>
      </c>
      <c r="L10" s="27">
        <f t="shared" si="2"/>
        <v>5702142</v>
      </c>
      <c r="M10" s="6"/>
      <c r="N10" s="43">
        <f t="shared" si="3"/>
        <v>997874.84999999986</v>
      </c>
    </row>
    <row r="11" spans="1:14" x14ac:dyDescent="0.25">
      <c r="A11" s="7" t="s">
        <v>291</v>
      </c>
      <c r="B11" s="7" t="s">
        <v>292</v>
      </c>
      <c r="C11" s="48">
        <v>155971577</v>
      </c>
      <c r="D11" s="9">
        <v>12130638</v>
      </c>
      <c r="E11" s="14">
        <v>7107476</v>
      </c>
      <c r="F11" s="27">
        <f t="shared" si="0"/>
        <v>5023162</v>
      </c>
      <c r="G11" s="17">
        <v>32600</v>
      </c>
      <c r="H11" s="19">
        <v>7787045.5199999996</v>
      </c>
      <c r="I11" s="6"/>
      <c r="J11" s="27">
        <f t="shared" si="1"/>
        <v>143128769.47999999</v>
      </c>
      <c r="K11" s="34">
        <v>0.04</v>
      </c>
      <c r="L11" s="27">
        <f t="shared" si="2"/>
        <v>5725150.7791999998</v>
      </c>
      <c r="M11" s="6">
        <v>31232</v>
      </c>
      <c r="N11" s="43">
        <f t="shared" si="3"/>
        <v>1001901.3863599998</v>
      </c>
    </row>
    <row r="12" spans="1:14" x14ac:dyDescent="0.25">
      <c r="A12" s="7" t="s">
        <v>267</v>
      </c>
      <c r="B12" s="7" t="s">
        <v>268</v>
      </c>
      <c r="C12" s="48">
        <v>150635849</v>
      </c>
      <c r="D12" s="9">
        <v>46589385</v>
      </c>
      <c r="E12" s="14">
        <v>2026916</v>
      </c>
      <c r="F12" s="27">
        <f t="shared" si="0"/>
        <v>44562469</v>
      </c>
      <c r="G12" s="17">
        <v>118550</v>
      </c>
      <c r="H12" s="20"/>
      <c r="I12" s="6"/>
      <c r="J12" s="27">
        <f t="shared" si="1"/>
        <v>105954830</v>
      </c>
      <c r="K12" s="34">
        <v>0.04</v>
      </c>
      <c r="L12" s="27">
        <f t="shared" si="2"/>
        <v>4238193.2</v>
      </c>
      <c r="M12" s="6"/>
      <c r="N12" s="43">
        <f t="shared" si="3"/>
        <v>741683.80999999994</v>
      </c>
    </row>
    <row r="13" spans="1:14" x14ac:dyDescent="0.25">
      <c r="A13" s="7" t="s">
        <v>919</v>
      </c>
      <c r="B13" s="7" t="s">
        <v>920</v>
      </c>
      <c r="C13" s="48">
        <v>144429382</v>
      </c>
      <c r="D13" s="9">
        <v>2278757</v>
      </c>
      <c r="E13" s="14">
        <v>1632612</v>
      </c>
      <c r="F13" s="27">
        <f t="shared" si="0"/>
        <v>646145</v>
      </c>
      <c r="G13" s="14"/>
      <c r="H13" s="19">
        <v>8183438.9699999997</v>
      </c>
      <c r="I13" s="6"/>
      <c r="J13" s="27">
        <f t="shared" si="1"/>
        <v>135599798.03</v>
      </c>
      <c r="K13" s="34">
        <v>0.04</v>
      </c>
      <c r="L13" s="27">
        <f t="shared" si="2"/>
        <v>5423991.9211999997</v>
      </c>
      <c r="M13" s="6">
        <v>31233</v>
      </c>
      <c r="N13" s="43">
        <f t="shared" si="3"/>
        <v>949198.58620999986</v>
      </c>
    </row>
    <row r="14" spans="1:14" x14ac:dyDescent="0.25">
      <c r="A14" s="7" t="s">
        <v>171</v>
      </c>
      <c r="B14" s="7" t="s">
        <v>172</v>
      </c>
      <c r="C14" s="48">
        <v>141928042</v>
      </c>
      <c r="D14" s="9">
        <v>3532454</v>
      </c>
      <c r="E14" s="14">
        <v>3484454</v>
      </c>
      <c r="F14" s="27">
        <f t="shared" si="0"/>
        <v>48000</v>
      </c>
      <c r="G14" s="17">
        <v>888707</v>
      </c>
      <c r="H14" s="20"/>
      <c r="I14" s="6"/>
      <c r="J14" s="27">
        <f t="shared" si="1"/>
        <v>140991335</v>
      </c>
      <c r="K14" s="34">
        <v>0.04</v>
      </c>
      <c r="L14" s="27">
        <f t="shared" si="2"/>
        <v>5639653.4000000004</v>
      </c>
      <c r="M14" s="6">
        <v>31234</v>
      </c>
      <c r="N14" s="43">
        <f t="shared" si="3"/>
        <v>986939.34499999986</v>
      </c>
    </row>
    <row r="15" spans="1:14" s="49" customFormat="1" x14ac:dyDescent="0.25">
      <c r="A15" s="50" t="s">
        <v>311</v>
      </c>
      <c r="B15" s="50" t="s">
        <v>312</v>
      </c>
      <c r="C15" s="48">
        <v>138964661</v>
      </c>
      <c r="D15" s="48">
        <v>1782743</v>
      </c>
      <c r="E15" s="51">
        <v>1782743</v>
      </c>
      <c r="F15" s="52">
        <f t="shared" si="0"/>
        <v>0</v>
      </c>
      <c r="G15" s="51"/>
      <c r="H15" s="53"/>
      <c r="I15" s="53"/>
      <c r="J15" s="52">
        <f t="shared" si="1"/>
        <v>138964661</v>
      </c>
      <c r="K15" s="54">
        <v>0.04</v>
      </c>
      <c r="L15" s="52">
        <f t="shared" si="2"/>
        <v>5558586.4400000004</v>
      </c>
      <c r="M15" s="53">
        <v>31235</v>
      </c>
      <c r="N15" s="55">
        <f t="shared" si="3"/>
        <v>972752.62699999986</v>
      </c>
    </row>
    <row r="16" spans="1:14" x14ac:dyDescent="0.25">
      <c r="A16" s="7" t="s">
        <v>167</v>
      </c>
      <c r="B16" s="7" t="s">
        <v>168</v>
      </c>
      <c r="C16" s="48">
        <v>137002220</v>
      </c>
      <c r="D16" s="9">
        <v>3409486</v>
      </c>
      <c r="E16" s="14">
        <v>441828</v>
      </c>
      <c r="F16" s="27">
        <f t="shared" si="0"/>
        <v>2967658</v>
      </c>
      <c r="G16" s="14"/>
      <c r="H16" s="19">
        <v>5515241.4400000004</v>
      </c>
      <c r="I16" s="6"/>
      <c r="J16" s="27">
        <f t="shared" si="1"/>
        <v>128519320.56</v>
      </c>
      <c r="K16" s="34">
        <v>0.04</v>
      </c>
      <c r="L16" s="27">
        <f t="shared" si="2"/>
        <v>5140772.8223999999</v>
      </c>
      <c r="M16" s="6">
        <v>31236</v>
      </c>
      <c r="N16" s="43">
        <f t="shared" si="3"/>
        <v>899635.24391999992</v>
      </c>
    </row>
    <row r="17" spans="1:14" x14ac:dyDescent="0.25">
      <c r="A17" s="7" t="s">
        <v>717</v>
      </c>
      <c r="B17" s="7" t="s">
        <v>718</v>
      </c>
      <c r="C17" s="48">
        <v>125789978</v>
      </c>
      <c r="D17" s="9">
        <v>11333041</v>
      </c>
      <c r="E17" s="14">
        <v>2692915</v>
      </c>
      <c r="F17" s="27">
        <f t="shared" si="0"/>
        <v>8640126</v>
      </c>
      <c r="G17" s="14"/>
      <c r="H17" s="19">
        <v>5341566.67</v>
      </c>
      <c r="I17" s="6"/>
      <c r="J17" s="27">
        <f t="shared" si="1"/>
        <v>111808285.33</v>
      </c>
      <c r="K17" s="34">
        <v>0.04</v>
      </c>
      <c r="L17" s="27">
        <f t="shared" si="2"/>
        <v>4472331.4132000003</v>
      </c>
      <c r="M17" s="6">
        <v>31237</v>
      </c>
      <c r="N17" s="43">
        <f t="shared" si="3"/>
        <v>782657.99730999989</v>
      </c>
    </row>
    <row r="18" spans="1:14" x14ac:dyDescent="0.25">
      <c r="A18" s="7" t="s">
        <v>255</v>
      </c>
      <c r="B18" s="7" t="s">
        <v>256</v>
      </c>
      <c r="C18" s="48">
        <v>120069120</v>
      </c>
      <c r="D18" s="9">
        <v>3549800</v>
      </c>
      <c r="E18" s="14">
        <v>900676</v>
      </c>
      <c r="F18" s="27">
        <f t="shared" si="0"/>
        <v>2649124</v>
      </c>
      <c r="G18" s="14"/>
      <c r="H18" s="19">
        <v>2775349.85</v>
      </c>
      <c r="I18" s="6"/>
      <c r="J18" s="27">
        <f t="shared" si="1"/>
        <v>114644646.15000001</v>
      </c>
      <c r="K18" s="34">
        <v>0.04</v>
      </c>
      <c r="L18" s="27">
        <f t="shared" si="2"/>
        <v>4585785.8459999999</v>
      </c>
      <c r="M18" s="6">
        <v>31238</v>
      </c>
      <c r="N18" s="43">
        <f t="shared" si="3"/>
        <v>802512.52304999996</v>
      </c>
    </row>
    <row r="19" spans="1:14" x14ac:dyDescent="0.25">
      <c r="A19" s="7" t="s">
        <v>607</v>
      </c>
      <c r="B19" s="7" t="s">
        <v>608</v>
      </c>
      <c r="C19" s="48">
        <v>118096786</v>
      </c>
      <c r="D19" s="9">
        <v>4297947</v>
      </c>
      <c r="E19" s="14">
        <v>3159803</v>
      </c>
      <c r="F19" s="27">
        <f t="shared" si="0"/>
        <v>1138144</v>
      </c>
      <c r="G19" s="14"/>
      <c r="H19" s="19">
        <v>4319906.83</v>
      </c>
      <c r="I19" s="6"/>
      <c r="J19" s="27">
        <f t="shared" si="1"/>
        <v>112638735.17</v>
      </c>
      <c r="K19" s="34">
        <v>0.04</v>
      </c>
      <c r="L19" s="27">
        <f t="shared" si="2"/>
        <v>4505549.4068</v>
      </c>
      <c r="M19" s="6">
        <v>31239</v>
      </c>
      <c r="N19" s="43">
        <f t="shared" si="3"/>
        <v>788471.14618999988</v>
      </c>
    </row>
    <row r="20" spans="1:14" x14ac:dyDescent="0.25">
      <c r="A20" s="7" t="s">
        <v>853</v>
      </c>
      <c r="B20" s="7" t="s">
        <v>854</v>
      </c>
      <c r="C20" s="48">
        <v>114214680</v>
      </c>
      <c r="D20" s="9">
        <v>4090153</v>
      </c>
      <c r="E20" s="14">
        <v>4090153</v>
      </c>
      <c r="F20" s="27">
        <f t="shared" si="0"/>
        <v>0</v>
      </c>
      <c r="G20" s="14"/>
      <c r="H20" s="19">
        <v>8548033.3499999996</v>
      </c>
      <c r="I20" s="6"/>
      <c r="J20" s="27">
        <f t="shared" si="1"/>
        <v>105666646.65000001</v>
      </c>
      <c r="K20" s="34">
        <v>0.04</v>
      </c>
      <c r="L20" s="27">
        <f t="shared" si="2"/>
        <v>4226665.8660000004</v>
      </c>
      <c r="M20" s="6">
        <v>31240</v>
      </c>
      <c r="N20" s="43">
        <f t="shared" si="3"/>
        <v>739666.52654999995</v>
      </c>
    </row>
    <row r="21" spans="1:14" x14ac:dyDescent="0.25">
      <c r="A21" s="7" t="s">
        <v>841</v>
      </c>
      <c r="B21" s="7" t="s">
        <v>842</v>
      </c>
      <c r="C21" s="48">
        <v>109883827</v>
      </c>
      <c r="D21" s="9">
        <v>4579604</v>
      </c>
      <c r="E21" s="14">
        <v>3249178</v>
      </c>
      <c r="F21" s="27">
        <f t="shared" si="0"/>
        <v>1330426</v>
      </c>
      <c r="G21" s="17">
        <v>320920</v>
      </c>
      <c r="H21" s="19">
        <v>2727612.68</v>
      </c>
      <c r="I21" s="19">
        <v>51456780</v>
      </c>
      <c r="J21" s="27">
        <f t="shared" si="1"/>
        <v>54048088.319999993</v>
      </c>
      <c r="K21" s="34">
        <v>0.03</v>
      </c>
      <c r="L21" s="27">
        <f t="shared" si="2"/>
        <v>1621442.6495999997</v>
      </c>
      <c r="M21" s="6">
        <v>31241</v>
      </c>
      <c r="N21" s="43">
        <f t="shared" si="3"/>
        <v>378336.61823999992</v>
      </c>
    </row>
    <row r="22" spans="1:14" x14ac:dyDescent="0.25">
      <c r="A22" s="7" t="s">
        <v>989</v>
      </c>
      <c r="B22" s="7" t="s">
        <v>990</v>
      </c>
      <c r="C22" s="48">
        <v>108009799</v>
      </c>
      <c r="D22" s="9">
        <v>1017181</v>
      </c>
      <c r="E22" s="14">
        <v>685981</v>
      </c>
      <c r="F22" s="27">
        <f t="shared" si="0"/>
        <v>331200</v>
      </c>
      <c r="G22" s="14"/>
      <c r="H22" s="19">
        <v>5227654.4000000004</v>
      </c>
      <c r="I22" s="6"/>
      <c r="J22" s="27">
        <f t="shared" si="1"/>
        <v>102450944.59999999</v>
      </c>
      <c r="K22" s="34">
        <v>0.04</v>
      </c>
      <c r="L22" s="27">
        <f t="shared" si="2"/>
        <v>4098037.784</v>
      </c>
      <c r="M22" s="6">
        <v>31242</v>
      </c>
      <c r="N22" s="43">
        <f t="shared" si="3"/>
        <v>717156.61219999986</v>
      </c>
    </row>
    <row r="23" spans="1:14" x14ac:dyDescent="0.25">
      <c r="A23" s="7" t="s">
        <v>427</v>
      </c>
      <c r="B23" s="7" t="s">
        <v>428</v>
      </c>
      <c r="C23" s="48">
        <v>105713735</v>
      </c>
      <c r="D23" s="9">
        <v>1473887</v>
      </c>
      <c r="E23" s="14">
        <v>884979</v>
      </c>
      <c r="F23" s="27">
        <f t="shared" si="0"/>
        <v>588908</v>
      </c>
      <c r="G23" s="14"/>
      <c r="H23" s="19">
        <v>5484555.96</v>
      </c>
      <c r="I23" s="6"/>
      <c r="J23" s="27">
        <f t="shared" si="1"/>
        <v>99640271.040000007</v>
      </c>
      <c r="K23" s="35">
        <v>3.5000000000000003E-2</v>
      </c>
      <c r="L23" s="27">
        <f t="shared" si="2"/>
        <v>3487409.4864000008</v>
      </c>
      <c r="M23" s="6">
        <v>31243</v>
      </c>
      <c r="N23" s="43">
        <f t="shared" si="3"/>
        <v>697481.89727999992</v>
      </c>
    </row>
    <row r="24" spans="1:14" x14ac:dyDescent="0.25">
      <c r="A24" s="7" t="s">
        <v>823</v>
      </c>
      <c r="B24" s="7" t="s">
        <v>824</v>
      </c>
      <c r="C24" s="48">
        <v>104195198</v>
      </c>
      <c r="D24" s="9">
        <v>7446313</v>
      </c>
      <c r="E24" s="14">
        <v>3144498</v>
      </c>
      <c r="F24" s="27">
        <f t="shared" si="0"/>
        <v>4301815</v>
      </c>
      <c r="G24" s="17">
        <v>1697750</v>
      </c>
      <c r="H24" s="20"/>
      <c r="I24" s="6"/>
      <c r="J24" s="27">
        <f t="shared" si="1"/>
        <v>98195633</v>
      </c>
      <c r="K24" s="35">
        <v>3.5000000000000003E-2</v>
      </c>
      <c r="L24" s="27">
        <f t="shared" si="2"/>
        <v>3436847.1550000003</v>
      </c>
      <c r="M24" s="6">
        <v>31244</v>
      </c>
      <c r="N24" s="43">
        <f t="shared" si="3"/>
        <v>687369.43099999998</v>
      </c>
    </row>
    <row r="25" spans="1:14" x14ac:dyDescent="0.25">
      <c r="A25" s="7" t="s">
        <v>749</v>
      </c>
      <c r="B25" s="7" t="s">
        <v>750</v>
      </c>
      <c r="C25" s="48">
        <v>99988613</v>
      </c>
      <c r="D25" s="9">
        <v>8247016</v>
      </c>
      <c r="E25" s="14">
        <v>878789</v>
      </c>
      <c r="F25" s="27">
        <f t="shared" si="0"/>
        <v>7368227</v>
      </c>
      <c r="G25" s="14"/>
      <c r="H25" s="19">
        <v>5108652.87</v>
      </c>
      <c r="I25" s="6"/>
      <c r="J25" s="27">
        <f t="shared" si="1"/>
        <v>87511733.129999995</v>
      </c>
      <c r="K25" s="35">
        <v>3.5000000000000003E-2</v>
      </c>
      <c r="L25" s="27">
        <f t="shared" si="2"/>
        <v>3062910.65955</v>
      </c>
      <c r="M25" s="6">
        <v>31245</v>
      </c>
      <c r="N25" s="43">
        <f t="shared" si="3"/>
        <v>612582.13190999988</v>
      </c>
    </row>
    <row r="26" spans="1:14" x14ac:dyDescent="0.25">
      <c r="A26" s="7" t="s">
        <v>621</v>
      </c>
      <c r="B26" s="7" t="s">
        <v>622</v>
      </c>
      <c r="C26" s="48">
        <v>92725651</v>
      </c>
      <c r="D26" s="9">
        <v>3707327</v>
      </c>
      <c r="E26" s="14">
        <v>767837</v>
      </c>
      <c r="F26" s="27">
        <f t="shared" si="0"/>
        <v>2939490</v>
      </c>
      <c r="G26" s="14"/>
      <c r="H26" s="20"/>
      <c r="I26" s="6"/>
      <c r="J26" s="27">
        <f t="shared" si="1"/>
        <v>89786161</v>
      </c>
      <c r="K26" s="35">
        <v>3.5000000000000003E-2</v>
      </c>
      <c r="L26" s="27">
        <f t="shared" si="2"/>
        <v>3142515.6350000002</v>
      </c>
      <c r="M26" s="6">
        <v>31246</v>
      </c>
      <c r="N26" s="43">
        <f t="shared" si="3"/>
        <v>628503.12699999998</v>
      </c>
    </row>
    <row r="27" spans="1:14" x14ac:dyDescent="0.25">
      <c r="A27" s="7" t="s">
        <v>793</v>
      </c>
      <c r="B27" s="7" t="s">
        <v>794</v>
      </c>
      <c r="C27" s="48">
        <v>91017029</v>
      </c>
      <c r="D27" s="9">
        <v>334405</v>
      </c>
      <c r="E27" s="14">
        <v>334405</v>
      </c>
      <c r="F27" s="27">
        <f t="shared" si="0"/>
        <v>0</v>
      </c>
      <c r="G27" s="14"/>
      <c r="H27" s="20"/>
      <c r="I27" s="6"/>
      <c r="J27" s="27">
        <f t="shared" si="1"/>
        <v>91017029</v>
      </c>
      <c r="K27" s="35">
        <v>3.5000000000000003E-2</v>
      </c>
      <c r="L27" s="27">
        <f t="shared" si="2"/>
        <v>3185596.0150000001</v>
      </c>
      <c r="M27" s="6">
        <v>31247</v>
      </c>
      <c r="N27" s="43">
        <f t="shared" si="3"/>
        <v>637119.20299999998</v>
      </c>
    </row>
    <row r="28" spans="1:14" x14ac:dyDescent="0.25">
      <c r="A28" s="7" t="s">
        <v>195</v>
      </c>
      <c r="B28" s="7" t="s">
        <v>196</v>
      </c>
      <c r="C28" s="48">
        <v>86326968</v>
      </c>
      <c r="D28" s="9">
        <v>2325642</v>
      </c>
      <c r="E28" s="14">
        <v>1615078</v>
      </c>
      <c r="F28" s="27">
        <f t="shared" si="0"/>
        <v>710564</v>
      </c>
      <c r="G28" s="14"/>
      <c r="H28" s="19">
        <v>3397503.93</v>
      </c>
      <c r="I28" s="6"/>
      <c r="J28" s="27">
        <f t="shared" si="1"/>
        <v>82218900.069999993</v>
      </c>
      <c r="K28" s="35">
        <v>3.5000000000000003E-2</v>
      </c>
      <c r="L28" s="27">
        <f t="shared" si="2"/>
        <v>2877661.50245</v>
      </c>
      <c r="M28" s="6">
        <v>31248</v>
      </c>
      <c r="N28" s="43">
        <f t="shared" si="3"/>
        <v>575532.30048999994</v>
      </c>
    </row>
    <row r="29" spans="1:14" x14ac:dyDescent="0.25">
      <c r="A29" s="7" t="s">
        <v>307</v>
      </c>
      <c r="B29" s="7" t="s">
        <v>308</v>
      </c>
      <c r="C29" s="48">
        <v>85314587</v>
      </c>
      <c r="D29" s="9">
        <v>256284</v>
      </c>
      <c r="E29" s="14">
        <v>256284</v>
      </c>
      <c r="F29" s="27">
        <f t="shared" si="0"/>
        <v>0</v>
      </c>
      <c r="G29" s="14"/>
      <c r="H29" s="19">
        <v>2140857</v>
      </c>
      <c r="I29" s="6"/>
      <c r="J29" s="27">
        <f t="shared" si="1"/>
        <v>83173730</v>
      </c>
      <c r="K29" s="35">
        <v>3.5000000000000003E-2</v>
      </c>
      <c r="L29" s="27">
        <f t="shared" si="2"/>
        <v>2911080.5500000003</v>
      </c>
      <c r="M29" s="6">
        <v>31249</v>
      </c>
      <c r="N29" s="43">
        <f t="shared" si="3"/>
        <v>582216.11</v>
      </c>
    </row>
    <row r="30" spans="1:14" x14ac:dyDescent="0.25">
      <c r="A30" s="7" t="s">
        <v>623</v>
      </c>
      <c r="B30" s="7" t="s">
        <v>624</v>
      </c>
      <c r="C30" s="48">
        <v>84132206</v>
      </c>
      <c r="D30" s="9">
        <v>6180585</v>
      </c>
      <c r="E30" s="14">
        <v>1814450</v>
      </c>
      <c r="F30" s="27">
        <f t="shared" si="0"/>
        <v>4366135</v>
      </c>
      <c r="G30" s="14"/>
      <c r="H30" s="19">
        <v>4824033.47</v>
      </c>
      <c r="I30" s="6"/>
      <c r="J30" s="27">
        <f t="shared" si="1"/>
        <v>74942037.530000001</v>
      </c>
      <c r="K30" s="35">
        <v>3.5000000000000003E-2</v>
      </c>
      <c r="L30" s="27">
        <f t="shared" si="2"/>
        <v>2622971.3135500001</v>
      </c>
      <c r="M30" s="6">
        <v>31250</v>
      </c>
      <c r="N30" s="43">
        <f t="shared" si="3"/>
        <v>524594.26270999992</v>
      </c>
    </row>
    <row r="31" spans="1:14" x14ac:dyDescent="0.25">
      <c r="A31" s="7" t="s">
        <v>553</v>
      </c>
      <c r="B31" s="7" t="s">
        <v>554</v>
      </c>
      <c r="C31" s="48">
        <v>81784630.959999993</v>
      </c>
      <c r="D31" s="9">
        <v>0</v>
      </c>
      <c r="E31" s="14"/>
      <c r="F31" s="27">
        <f t="shared" si="0"/>
        <v>0</v>
      </c>
      <c r="G31" s="14"/>
      <c r="H31" s="19">
        <v>4075514</v>
      </c>
      <c r="I31" s="6"/>
      <c r="J31" s="27">
        <f t="shared" si="1"/>
        <v>77709116.959999993</v>
      </c>
      <c r="K31" s="35">
        <v>3.5000000000000003E-2</v>
      </c>
      <c r="L31" s="27">
        <f t="shared" si="2"/>
        <v>2719819.0936000003</v>
      </c>
      <c r="M31" s="6">
        <v>31251</v>
      </c>
      <c r="N31" s="43">
        <f t="shared" si="3"/>
        <v>543963.81871999986</v>
      </c>
    </row>
    <row r="32" spans="1:14" x14ac:dyDescent="0.25">
      <c r="A32" s="7" t="s">
        <v>457</v>
      </c>
      <c r="B32" s="7" t="s">
        <v>458</v>
      </c>
      <c r="C32" s="48">
        <v>80204322</v>
      </c>
      <c r="D32" s="9">
        <v>441561</v>
      </c>
      <c r="E32" s="14">
        <v>441561</v>
      </c>
      <c r="F32" s="27">
        <f t="shared" si="0"/>
        <v>0</v>
      </c>
      <c r="G32" s="14"/>
      <c r="H32" s="19">
        <v>4330861.26</v>
      </c>
      <c r="I32" s="6"/>
      <c r="J32" s="27">
        <f t="shared" si="1"/>
        <v>75873460.739999995</v>
      </c>
      <c r="K32" s="35">
        <v>3.5000000000000003E-2</v>
      </c>
      <c r="L32" s="27">
        <f t="shared" si="2"/>
        <v>2655571.1258999999</v>
      </c>
      <c r="M32" s="6">
        <v>31252</v>
      </c>
      <c r="N32" s="43">
        <f t="shared" si="3"/>
        <v>531114.22517999995</v>
      </c>
    </row>
    <row r="33" spans="1:14" x14ac:dyDescent="0.25">
      <c r="A33" s="7" t="s">
        <v>393</v>
      </c>
      <c r="B33" s="7" t="s">
        <v>394</v>
      </c>
      <c r="C33" s="48">
        <v>80044225</v>
      </c>
      <c r="D33" s="9">
        <v>2445434</v>
      </c>
      <c r="E33" s="14">
        <v>819151</v>
      </c>
      <c r="F33" s="27">
        <f t="shared" si="0"/>
        <v>1626283</v>
      </c>
      <c r="G33" s="14"/>
      <c r="H33" s="19">
        <v>1879958.58</v>
      </c>
      <c r="I33" s="6"/>
      <c r="J33" s="27">
        <f t="shared" si="1"/>
        <v>76537983.420000002</v>
      </c>
      <c r="K33" s="35">
        <v>3.5000000000000003E-2</v>
      </c>
      <c r="L33" s="27">
        <f t="shared" si="2"/>
        <v>2678829.4197000004</v>
      </c>
      <c r="M33" s="6">
        <v>31253</v>
      </c>
      <c r="N33" s="43">
        <f t="shared" si="3"/>
        <v>535765.88393999997</v>
      </c>
    </row>
    <row r="34" spans="1:14" x14ac:dyDescent="0.25">
      <c r="A34" s="7" t="s">
        <v>595</v>
      </c>
      <c r="B34" s="7" t="s">
        <v>596</v>
      </c>
      <c r="C34" s="48">
        <v>78403586</v>
      </c>
      <c r="D34" s="9">
        <v>8948417</v>
      </c>
      <c r="E34" s="14">
        <v>2923241</v>
      </c>
      <c r="F34" s="27">
        <f t="shared" si="0"/>
        <v>6025176</v>
      </c>
      <c r="G34" s="14"/>
      <c r="H34" s="20"/>
      <c r="I34" s="6"/>
      <c r="J34" s="27">
        <f t="shared" si="1"/>
        <v>72378410</v>
      </c>
      <c r="K34" s="35">
        <v>3.5000000000000003E-2</v>
      </c>
      <c r="L34" s="27">
        <f t="shared" si="2"/>
        <v>2533244.35</v>
      </c>
      <c r="M34" s="6">
        <v>31254</v>
      </c>
      <c r="N34" s="43">
        <f t="shared" si="3"/>
        <v>506648.86999999994</v>
      </c>
    </row>
    <row r="35" spans="1:14" x14ac:dyDescent="0.25">
      <c r="A35" s="7" t="s">
        <v>379</v>
      </c>
      <c r="B35" s="7" t="s">
        <v>380</v>
      </c>
      <c r="C35" s="48">
        <v>69474219</v>
      </c>
      <c r="D35" s="9">
        <v>2949912</v>
      </c>
      <c r="E35" s="14">
        <v>1894069</v>
      </c>
      <c r="F35" s="27">
        <f t="shared" si="0"/>
        <v>1055843</v>
      </c>
      <c r="G35" s="14"/>
      <c r="H35" s="20"/>
      <c r="I35" s="6"/>
      <c r="J35" s="27">
        <f t="shared" si="1"/>
        <v>68418376</v>
      </c>
      <c r="K35" s="34">
        <v>0.03</v>
      </c>
      <c r="L35" s="27">
        <f t="shared" si="2"/>
        <v>2052551.28</v>
      </c>
      <c r="M35" s="6">
        <v>31255</v>
      </c>
      <c r="N35" s="43">
        <f t="shared" si="3"/>
        <v>478928.63199999993</v>
      </c>
    </row>
    <row r="36" spans="1:14" x14ac:dyDescent="0.25">
      <c r="A36" s="7" t="s">
        <v>663</v>
      </c>
      <c r="B36" s="7" t="s">
        <v>664</v>
      </c>
      <c r="C36" s="48">
        <v>67188543</v>
      </c>
      <c r="D36" s="9">
        <v>906846</v>
      </c>
      <c r="E36" s="14">
        <v>906846</v>
      </c>
      <c r="F36" s="27">
        <f t="shared" si="0"/>
        <v>0</v>
      </c>
      <c r="G36" s="14"/>
      <c r="H36" s="19">
        <v>2737023.46</v>
      </c>
      <c r="I36" s="6"/>
      <c r="J36" s="27">
        <f t="shared" si="1"/>
        <v>64451519.539999999</v>
      </c>
      <c r="K36" s="34">
        <v>0.03</v>
      </c>
      <c r="L36" s="27">
        <f t="shared" si="2"/>
        <v>1933545.5861999998</v>
      </c>
      <c r="M36" s="6">
        <v>31256</v>
      </c>
      <c r="N36" s="43">
        <f t="shared" si="3"/>
        <v>451160.63677999994</v>
      </c>
    </row>
    <row r="37" spans="1:14" x14ac:dyDescent="0.25">
      <c r="A37" s="7" t="s">
        <v>1011</v>
      </c>
      <c r="B37" s="7" t="s">
        <v>1012</v>
      </c>
      <c r="C37" s="48">
        <v>61701816</v>
      </c>
      <c r="D37" s="9">
        <v>0</v>
      </c>
      <c r="E37" s="14"/>
      <c r="F37" s="27">
        <f t="shared" si="0"/>
        <v>0</v>
      </c>
      <c r="G37" s="17">
        <v>193000</v>
      </c>
      <c r="H37" s="19">
        <v>11174.51</v>
      </c>
      <c r="I37" s="6"/>
      <c r="J37" s="27">
        <f t="shared" si="1"/>
        <v>61497641.490000002</v>
      </c>
      <c r="K37" s="34"/>
      <c r="L37" s="27">
        <f t="shared" si="2"/>
        <v>0</v>
      </c>
      <c r="M37" s="6"/>
      <c r="N37" s="43">
        <f t="shared" si="3"/>
        <v>430483.49042999995</v>
      </c>
    </row>
    <row r="38" spans="1:14" x14ac:dyDescent="0.25">
      <c r="A38" s="7" t="s">
        <v>667</v>
      </c>
      <c r="B38" s="7" t="s">
        <v>668</v>
      </c>
      <c r="C38" s="48">
        <v>61602365</v>
      </c>
      <c r="D38" s="9">
        <v>378512</v>
      </c>
      <c r="E38" s="14">
        <v>378512</v>
      </c>
      <c r="F38" s="27">
        <f t="shared" si="0"/>
        <v>0</v>
      </c>
      <c r="G38" s="14"/>
      <c r="H38" s="19">
        <v>607981.80000000005</v>
      </c>
      <c r="I38" s="6"/>
      <c r="J38" s="27">
        <f t="shared" si="1"/>
        <v>60994383.200000003</v>
      </c>
      <c r="K38" s="34">
        <v>0.03</v>
      </c>
      <c r="L38" s="27">
        <f t="shared" si="2"/>
        <v>1829831.496</v>
      </c>
      <c r="M38" s="6">
        <v>31257</v>
      </c>
      <c r="N38" s="43">
        <f t="shared" si="3"/>
        <v>426960.68239999999</v>
      </c>
    </row>
    <row r="39" spans="1:14" x14ac:dyDescent="0.25">
      <c r="A39" s="7" t="s">
        <v>293</v>
      </c>
      <c r="B39" s="7" t="s">
        <v>294</v>
      </c>
      <c r="C39" s="48">
        <v>60966954</v>
      </c>
      <c r="D39" s="9">
        <v>3478807</v>
      </c>
      <c r="E39" s="14">
        <v>1826446</v>
      </c>
      <c r="F39" s="27">
        <f t="shared" si="0"/>
        <v>1652361</v>
      </c>
      <c r="G39" s="14"/>
      <c r="H39" s="19">
        <v>3579986.36</v>
      </c>
      <c r="I39" s="6"/>
      <c r="J39" s="27">
        <f t="shared" si="1"/>
        <v>55734606.640000001</v>
      </c>
      <c r="K39" s="34">
        <v>0.03</v>
      </c>
      <c r="L39" s="27">
        <f t="shared" si="2"/>
        <v>1672038.1991999999</v>
      </c>
      <c r="M39" s="6">
        <v>31258</v>
      </c>
      <c r="N39" s="43">
        <f t="shared" si="3"/>
        <v>390142.24647999997</v>
      </c>
    </row>
    <row r="40" spans="1:14" x14ac:dyDescent="0.25">
      <c r="A40" s="7" t="s">
        <v>835</v>
      </c>
      <c r="B40" s="7" t="s">
        <v>836</v>
      </c>
      <c r="C40" s="48">
        <v>58038273</v>
      </c>
      <c r="D40" s="9">
        <v>303625</v>
      </c>
      <c r="E40" s="14"/>
      <c r="F40" s="27">
        <f t="shared" si="0"/>
        <v>303625</v>
      </c>
      <c r="G40" s="17">
        <v>295000</v>
      </c>
      <c r="H40" s="19">
        <v>2754844.61</v>
      </c>
      <c r="I40" s="6"/>
      <c r="J40" s="27">
        <f t="shared" si="1"/>
        <v>54684803.390000001</v>
      </c>
      <c r="K40" s="34">
        <v>0.03</v>
      </c>
      <c r="L40" s="27">
        <f t="shared" si="2"/>
        <v>1640544.1017</v>
      </c>
      <c r="M40" s="6">
        <v>31259</v>
      </c>
      <c r="N40" s="43">
        <f t="shared" si="3"/>
        <v>382793.62372999999</v>
      </c>
    </row>
    <row r="41" spans="1:14" x14ac:dyDescent="0.25">
      <c r="A41" s="7" t="s">
        <v>561</v>
      </c>
      <c r="B41" s="7" t="s">
        <v>562</v>
      </c>
      <c r="C41" s="48">
        <v>56904731</v>
      </c>
      <c r="D41" s="9">
        <v>4554323</v>
      </c>
      <c r="E41" s="14">
        <v>3105424</v>
      </c>
      <c r="F41" s="27">
        <f t="shared" si="0"/>
        <v>1448899</v>
      </c>
      <c r="G41" s="14"/>
      <c r="H41" s="19">
        <v>2871702.92</v>
      </c>
      <c r="I41" s="6"/>
      <c r="J41" s="27">
        <f t="shared" si="1"/>
        <v>52584129.079999998</v>
      </c>
      <c r="K41" s="34">
        <v>0.03</v>
      </c>
      <c r="L41" s="27">
        <f t="shared" si="2"/>
        <v>1577523.8724</v>
      </c>
      <c r="M41" s="6">
        <v>31260</v>
      </c>
      <c r="N41" s="43">
        <f t="shared" si="3"/>
        <v>368088.90355999995</v>
      </c>
    </row>
    <row r="42" spans="1:14" x14ac:dyDescent="0.25">
      <c r="A42" s="7" t="s">
        <v>965</v>
      </c>
      <c r="B42" s="7" t="s">
        <v>966</v>
      </c>
      <c r="C42" s="48">
        <v>54099708</v>
      </c>
      <c r="D42" s="9">
        <v>407149</v>
      </c>
      <c r="E42" s="14">
        <v>407149</v>
      </c>
      <c r="F42" s="27">
        <f t="shared" si="0"/>
        <v>0</v>
      </c>
      <c r="G42" s="14"/>
      <c r="H42" s="19">
        <v>1854965.5</v>
      </c>
      <c r="I42" s="6"/>
      <c r="J42" s="27">
        <f t="shared" si="1"/>
        <v>52244742.5</v>
      </c>
      <c r="K42" s="34">
        <v>0.03</v>
      </c>
      <c r="L42" s="27">
        <f t="shared" si="2"/>
        <v>1567342.2749999999</v>
      </c>
      <c r="M42" s="6">
        <v>31261</v>
      </c>
      <c r="N42" s="43">
        <f t="shared" si="3"/>
        <v>365713.19749999995</v>
      </c>
    </row>
    <row r="43" spans="1:14" x14ac:dyDescent="0.25">
      <c r="A43" s="7" t="s">
        <v>81</v>
      </c>
      <c r="B43" s="7" t="s">
        <v>82</v>
      </c>
      <c r="C43" s="48">
        <v>53555599.799999997</v>
      </c>
      <c r="D43" s="9">
        <v>5392582</v>
      </c>
      <c r="E43" s="14">
        <v>378509</v>
      </c>
      <c r="F43" s="27">
        <f t="shared" si="0"/>
        <v>5014073</v>
      </c>
      <c r="G43" s="14"/>
      <c r="H43" s="19">
        <v>2560466.98</v>
      </c>
      <c r="I43" s="6"/>
      <c r="J43" s="27">
        <f t="shared" si="1"/>
        <v>45981059.82</v>
      </c>
      <c r="K43" s="35">
        <v>2.5000000000000001E-2</v>
      </c>
      <c r="L43" s="27">
        <f t="shared" si="2"/>
        <v>1149526.4955</v>
      </c>
      <c r="M43" s="6">
        <v>31262</v>
      </c>
      <c r="N43" s="43">
        <f t="shared" si="3"/>
        <v>321867.41873999999</v>
      </c>
    </row>
    <row r="44" spans="1:14" x14ac:dyDescent="0.25">
      <c r="A44" s="7" t="s">
        <v>981</v>
      </c>
      <c r="B44" s="7" t="s">
        <v>982</v>
      </c>
      <c r="C44" s="48">
        <v>52263781</v>
      </c>
      <c r="D44" s="9">
        <v>915027</v>
      </c>
      <c r="E44" s="14">
        <v>600027</v>
      </c>
      <c r="F44" s="27">
        <f t="shared" si="0"/>
        <v>315000</v>
      </c>
      <c r="G44" s="17">
        <v>655800</v>
      </c>
      <c r="H44" s="19">
        <v>1227703.78</v>
      </c>
      <c r="I44" s="6"/>
      <c r="J44" s="27">
        <f t="shared" si="1"/>
        <v>50065277.219999999</v>
      </c>
      <c r="K44" s="34">
        <v>0.03</v>
      </c>
      <c r="L44" s="27">
        <f t="shared" si="2"/>
        <v>1501958.3166</v>
      </c>
      <c r="M44" s="6">
        <v>31263</v>
      </c>
      <c r="N44" s="43">
        <f t="shared" si="3"/>
        <v>350456.94053999998</v>
      </c>
    </row>
    <row r="45" spans="1:14" x14ac:dyDescent="0.25">
      <c r="A45" s="7" t="s">
        <v>559</v>
      </c>
      <c r="B45" s="7" t="s">
        <v>560</v>
      </c>
      <c r="C45" s="48">
        <v>51028922</v>
      </c>
      <c r="D45" s="9">
        <v>2281709</v>
      </c>
      <c r="E45" s="14">
        <v>1662609</v>
      </c>
      <c r="F45" s="27">
        <f t="shared" si="0"/>
        <v>619100</v>
      </c>
      <c r="G45" s="17">
        <v>621190</v>
      </c>
      <c r="H45" s="20"/>
      <c r="I45" s="6"/>
      <c r="J45" s="27">
        <f t="shared" si="1"/>
        <v>49788632</v>
      </c>
      <c r="K45" s="35">
        <v>2.5000000000000001E-2</v>
      </c>
      <c r="L45" s="27">
        <f t="shared" si="2"/>
        <v>1244715.8</v>
      </c>
      <c r="M45" s="6">
        <v>31264</v>
      </c>
      <c r="N45" s="43">
        <f t="shared" si="3"/>
        <v>348520.42399999994</v>
      </c>
    </row>
    <row r="46" spans="1:14" x14ac:dyDescent="0.25">
      <c r="A46" s="7" t="s">
        <v>861</v>
      </c>
      <c r="B46" s="7" t="s">
        <v>862</v>
      </c>
      <c r="C46" s="48">
        <v>50841384</v>
      </c>
      <c r="D46" s="9">
        <v>922424</v>
      </c>
      <c r="E46" s="14">
        <v>922424</v>
      </c>
      <c r="F46" s="27">
        <f t="shared" si="0"/>
        <v>0</v>
      </c>
      <c r="G46" s="14"/>
      <c r="H46" s="19">
        <v>1729686.4</v>
      </c>
      <c r="I46" s="6"/>
      <c r="J46" s="27">
        <f t="shared" si="1"/>
        <v>49111697.600000001</v>
      </c>
      <c r="K46" s="35">
        <v>2.5000000000000001E-2</v>
      </c>
      <c r="L46" s="27">
        <f t="shared" si="2"/>
        <v>1227792.4400000002</v>
      </c>
      <c r="M46" s="6">
        <v>31265</v>
      </c>
      <c r="N46" s="43">
        <f t="shared" si="3"/>
        <v>343781.88319999998</v>
      </c>
    </row>
    <row r="47" spans="1:14" x14ac:dyDescent="0.25">
      <c r="A47" s="7" t="s">
        <v>579</v>
      </c>
      <c r="B47" s="7" t="s">
        <v>580</v>
      </c>
      <c r="C47" s="48">
        <v>48919688</v>
      </c>
      <c r="D47" s="9">
        <v>641580</v>
      </c>
      <c r="E47" s="14">
        <v>249580</v>
      </c>
      <c r="F47" s="27">
        <f t="shared" si="0"/>
        <v>392000</v>
      </c>
      <c r="G47" s="17">
        <v>76600</v>
      </c>
      <c r="H47" s="19">
        <v>1555425.71</v>
      </c>
      <c r="I47" s="6"/>
      <c r="J47" s="27">
        <f t="shared" si="1"/>
        <v>46895662.289999999</v>
      </c>
      <c r="K47" s="35">
        <v>2.5000000000000001E-2</v>
      </c>
      <c r="L47" s="27">
        <f t="shared" si="2"/>
        <v>1172391.5572500001</v>
      </c>
      <c r="M47" s="6">
        <v>31266</v>
      </c>
      <c r="N47" s="43">
        <f t="shared" si="3"/>
        <v>328269.63602999994</v>
      </c>
    </row>
    <row r="48" spans="1:14" x14ac:dyDescent="0.25">
      <c r="A48" s="7" t="s">
        <v>987</v>
      </c>
      <c r="B48" s="7" t="s">
        <v>988</v>
      </c>
      <c r="C48" s="48">
        <v>47982308</v>
      </c>
      <c r="D48" s="9">
        <v>1384147</v>
      </c>
      <c r="E48" s="14">
        <v>312915</v>
      </c>
      <c r="F48" s="27">
        <f t="shared" si="0"/>
        <v>1071232</v>
      </c>
      <c r="G48" s="14"/>
      <c r="H48" s="19">
        <v>332550.65999999997</v>
      </c>
      <c r="I48" s="6"/>
      <c r="J48" s="27">
        <f t="shared" si="1"/>
        <v>46578525.340000004</v>
      </c>
      <c r="K48" s="35">
        <v>2.5000000000000001E-2</v>
      </c>
      <c r="L48" s="27">
        <f t="shared" si="2"/>
        <v>1164463.1335000002</v>
      </c>
      <c r="M48" s="6">
        <v>31267</v>
      </c>
      <c r="N48" s="43">
        <f t="shared" si="3"/>
        <v>326049.67738000001</v>
      </c>
    </row>
    <row r="49" spans="1:14" x14ac:dyDescent="0.25">
      <c r="A49" s="7" t="s">
        <v>513</v>
      </c>
      <c r="B49" s="7" t="s">
        <v>514</v>
      </c>
      <c r="C49" s="48">
        <v>47787711</v>
      </c>
      <c r="D49" s="9">
        <v>2148271</v>
      </c>
      <c r="E49" s="14">
        <v>633129</v>
      </c>
      <c r="F49" s="27">
        <f t="shared" si="0"/>
        <v>1515142</v>
      </c>
      <c r="G49" s="17">
        <v>605200</v>
      </c>
      <c r="H49" s="19">
        <v>2340557.64</v>
      </c>
      <c r="I49" s="6"/>
      <c r="J49" s="27">
        <f t="shared" si="1"/>
        <v>43326811.359999999</v>
      </c>
      <c r="K49" s="35">
        <v>2.5000000000000001E-2</v>
      </c>
      <c r="L49" s="27">
        <f t="shared" si="2"/>
        <v>1083170.284</v>
      </c>
      <c r="M49" s="6">
        <v>31272</v>
      </c>
      <c r="N49" s="43">
        <f t="shared" si="3"/>
        <v>303287.67951999995</v>
      </c>
    </row>
    <row r="50" spans="1:14" x14ac:dyDescent="0.25">
      <c r="A50" s="7" t="s">
        <v>827</v>
      </c>
      <c r="B50" s="7" t="s">
        <v>828</v>
      </c>
      <c r="C50" s="48">
        <v>47357516</v>
      </c>
      <c r="D50" s="9">
        <v>3413885</v>
      </c>
      <c r="E50" s="14">
        <v>1730742</v>
      </c>
      <c r="F50" s="27">
        <f t="shared" si="0"/>
        <v>1683143</v>
      </c>
      <c r="G50" s="14"/>
      <c r="H50" s="19">
        <v>2571887.2599999998</v>
      </c>
      <c r="I50" s="6"/>
      <c r="J50" s="27">
        <f t="shared" si="1"/>
        <v>43102485.740000002</v>
      </c>
      <c r="K50" s="35">
        <v>2.5000000000000001E-2</v>
      </c>
      <c r="L50" s="27">
        <f t="shared" si="2"/>
        <v>1077562.1435</v>
      </c>
      <c r="M50" s="6">
        <v>31273</v>
      </c>
      <c r="N50" s="43">
        <f t="shared" si="3"/>
        <v>301717.40018</v>
      </c>
    </row>
    <row r="52" spans="1:14" x14ac:dyDescent="0.25">
      <c r="N52" s="56">
        <f>SUM(N2:N51)</f>
        <v>36462911.664970003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Parametros</vt:lpstr>
      <vt:lpstr>01-01 - Lista de facturación p</vt:lpstr>
      <vt:lpstr>01-01 - Lista de facturació (2</vt:lpstr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Alejandra Morales Tique</dc:creator>
  <cp:lastModifiedBy>Daniela Alejandra Morales Tique</cp:lastModifiedBy>
  <cp:lastPrinted>2026-04-08T14:29:21Z</cp:lastPrinted>
  <dcterms:created xsi:type="dcterms:W3CDTF">2026-04-01T17:09:22Z</dcterms:created>
  <dcterms:modified xsi:type="dcterms:W3CDTF">2026-04-21T15:55:52Z</dcterms:modified>
</cp:coreProperties>
</file>