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Nuevos Requerimientos\2026-08-29 Requerimiento Aprobacion Ajustes OC Confirmadas\"/>
    </mc:Choice>
  </mc:AlternateContent>
  <bookViews>
    <workbookView xWindow="0" yWindow="6855" windowWidth="28800" windowHeight="11805" tabRatio="680" firstSheet="1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5" i="9" l="1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C13" i="5"/>
  <c r="C10" i="5"/>
  <c r="C7" i="5"/>
  <c r="C4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P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G23" i="9" s="1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D5" i="5"/>
  <c r="E5" i="5"/>
  <c r="F5" i="5"/>
  <c r="G5" i="5"/>
  <c r="H5" i="5"/>
  <c r="I5" i="5"/>
  <c r="J5" i="5"/>
  <c r="K5" i="5"/>
  <c r="L5" i="5"/>
  <c r="M5" i="5"/>
  <c r="N5" i="5"/>
  <c r="O5" i="5"/>
  <c r="D8" i="5"/>
  <c r="E8" i="5"/>
  <c r="F8" i="5"/>
  <c r="G8" i="5"/>
  <c r="H8" i="5"/>
  <c r="I8" i="5"/>
  <c r="J8" i="5"/>
  <c r="K8" i="5"/>
  <c r="L8" i="5"/>
  <c r="M8" i="5"/>
  <c r="N8" i="5"/>
  <c r="O8" i="5"/>
  <c r="D11" i="5"/>
  <c r="E11" i="5"/>
  <c r="F11" i="5"/>
  <c r="G11" i="5"/>
  <c r="H11" i="5"/>
  <c r="I11" i="5"/>
  <c r="J11" i="5"/>
  <c r="K11" i="5"/>
  <c r="L11" i="5"/>
  <c r="M11" i="5"/>
  <c r="N11" i="5"/>
  <c r="O11" i="5"/>
  <c r="D14" i="5"/>
  <c r="E14" i="5"/>
  <c r="F14" i="5"/>
  <c r="G14" i="5"/>
  <c r="H14" i="5"/>
  <c r="I14" i="5"/>
  <c r="J14" i="5"/>
  <c r="K14" i="5"/>
  <c r="L14" i="5"/>
  <c r="M14" i="5"/>
  <c r="N14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8" i="12"/>
  <c r="F27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N5" i="12" l="1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1" i="5"/>
  <c r="G2" i="5"/>
  <c r="F2" i="5"/>
  <c r="E2" i="5"/>
  <c r="C8" i="5"/>
  <c r="D2" i="5"/>
  <c r="C5" i="5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3" i="9" s="1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11" i="9" l="1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<sst xmlns="http://schemas.openxmlformats.org/spreadsheetml/2006/main" count="392" uniqueCount="179">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</sst>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2" t="s">
        <v>0</v>
      </c>
      <c r="B1" s="123"/>
    </row>
    <row r="2" spans="1:11" x14ac:dyDescent="0.2">
      <c r="A2" s="119" t="s">
        <v>1</v>
      </c>
      <c r="B2" s="120"/>
      <c r="C2" s="121"/>
      <c r="D2" s="121"/>
      <c r="E2" s="121"/>
      <c r="F2" s="121"/>
      <c r="G2" s="121"/>
    </row>
    <row r="3" spans="1:11" x14ac:dyDescent="0.2">
      <c r="A3" s="119" t="s">
        <v>2</v>
      </c>
      <c r="B3" s="120"/>
      <c r="C3" s="121"/>
      <c r="D3" s="121"/>
      <c r="E3" s="121"/>
      <c r="F3" s="121"/>
      <c r="G3" s="121"/>
    </row>
    <row r="4" spans="1:11" x14ac:dyDescent="0.2">
      <c r="A4" s="119" t="s">
        <v>3</v>
      </c>
      <c r="B4" s="120"/>
      <c r="C4" s="121"/>
      <c r="D4" s="121"/>
      <c r="E4" s="121"/>
      <c r="F4" s="121"/>
      <c r="G4" s="121"/>
    </row>
    <row r="5" spans="1:11" x14ac:dyDescent="0.2">
      <c r="A5" s="119" t="s">
        <v>4</v>
      </c>
      <c r="B5" s="120"/>
      <c r="C5" s="121"/>
      <c r="D5" s="121"/>
      <c r="E5" s="121"/>
      <c r="F5" s="121"/>
      <c r="G5" s="121"/>
    </row>
    <row r="6" spans="1:11" x14ac:dyDescent="0.2">
      <c r="A6" s="4" t="s">
        <v>5</v>
      </c>
      <c r="B6" s="97"/>
      <c r="C6" s="121"/>
      <c r="D6" s="121"/>
      <c r="E6" s="121"/>
      <c r="F6" s="121"/>
      <c r="G6" s="121"/>
    </row>
    <row r="7" spans="1:11" x14ac:dyDescent="0.2">
      <c r="A7" s="119" t="s">
        <v>6</v>
      </c>
      <c r="B7" s="120"/>
      <c r="C7" s="121"/>
      <c r="D7" s="121"/>
      <c r="E7" s="121"/>
      <c r="F7" s="121"/>
      <c r="G7" s="121"/>
    </row>
    <row r="8" spans="1:11" x14ac:dyDescent="0.2">
      <c r="A8" s="122" t="s">
        <v>7</v>
      </c>
      <c r="B8" s="123"/>
      <c r="C8" s="121"/>
      <c r="D8" s="121"/>
      <c r="E8" s="121"/>
      <c r="F8" s="121"/>
      <c r="G8" s="121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C2:G2"/>
    <mergeCell ref="C3:G3"/>
    <mergeCell ref="C5:G5"/>
    <mergeCell ref="A1:B1"/>
    <mergeCell ref="A2:B2"/>
    <mergeCell ref="A3:B3"/>
    <mergeCell ref="A5:B5"/>
    <mergeCell ref="A4:B4"/>
    <mergeCell ref="C4:G4"/>
    <mergeCell ref="A7:B7"/>
    <mergeCell ref="C7:G7"/>
    <mergeCell ref="C8:G8"/>
    <mergeCell ref="A8:B8"/>
    <mergeCell ref="C6:G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workbookViewId="0">
      <selection activeCell="F5" sqref="F5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x14ac:dyDescent="0.2">
      <c r="A2" s="143" t="s">
        <v>30</v>
      </c>
      <c r="B2" s="143"/>
      <c r="C2" s="143"/>
      <c r="D2" s="143"/>
      <c r="E2" s="143"/>
      <c r="F2" s="118">
        <v>9.5</v>
      </c>
      <c r="H2" s="98" t="s">
        <v>31</v>
      </c>
      <c r="I2" s="99"/>
      <c r="J2" s="99"/>
      <c r="K2" s="99"/>
      <c r="L2" s="99"/>
      <c r="M2" s="100"/>
      <c r="N2" s="69">
        <f>CEILING(F2*(8/F4),1)</f>
        <v>19</v>
      </c>
      <c r="AA2" s="13" t="s">
        <v>171</v>
      </c>
    </row>
    <row r="3" spans="1:27" x14ac:dyDescent="0.2">
      <c r="A3" s="143" t="s">
        <v>163</v>
      </c>
      <c r="B3" s="143"/>
      <c r="C3" s="143"/>
      <c r="D3" s="143"/>
      <c r="E3" s="143"/>
      <c r="F3" s="63">
        <v>1</v>
      </c>
      <c r="H3" s="146" t="s">
        <v>32</v>
      </c>
      <c r="I3" s="147"/>
      <c r="J3" s="147"/>
      <c r="K3" s="147"/>
      <c r="L3" s="147"/>
      <c r="M3" s="148"/>
      <c r="N3" s="67">
        <f>CEILING(N2/F3,1)</f>
        <v>19</v>
      </c>
    </row>
    <row r="4" spans="1:27" x14ac:dyDescent="0.2">
      <c r="A4" s="143" t="s">
        <v>33</v>
      </c>
      <c r="B4" s="143"/>
      <c r="C4" s="143"/>
      <c r="D4" s="143"/>
      <c r="E4" s="143"/>
      <c r="F4" s="63">
        <v>4</v>
      </c>
      <c r="H4" s="149" t="s">
        <v>34</v>
      </c>
      <c r="I4" s="150"/>
      <c r="J4" s="150"/>
      <c r="K4" s="150"/>
      <c r="L4" s="150"/>
      <c r="M4" s="151"/>
      <c r="N4" s="67">
        <f>CEILING((N3/F7)+F8,1)</f>
        <v>19</v>
      </c>
    </row>
    <row r="5" spans="1:27" x14ac:dyDescent="0.2">
      <c r="A5" s="143" t="s">
        <v>35</v>
      </c>
      <c r="B5" s="143"/>
      <c r="C5" s="143"/>
      <c r="D5" s="143"/>
      <c r="E5" s="143"/>
      <c r="F5" s="63">
        <v>0</v>
      </c>
      <c r="H5" s="149" t="str">
        <f>IF(F7&gt;1, CONCATENATE("Duración de desarrollo de los Iteración 2 a ",F7,":"),"Duración Iteración 2 en adelante")</f>
        <v>Duración Iteración 2 en adelante</v>
      </c>
      <c r="I5" s="150"/>
      <c r="J5" s="150"/>
      <c r="K5" s="150"/>
      <c r="L5" s="150"/>
      <c r="M5" s="151"/>
      <c r="N5" s="67">
        <f>IF(F7&gt;1,CEILING( (N3/F7),1),0)</f>
        <v>0</v>
      </c>
    </row>
    <row r="6" spans="1:27" x14ac:dyDescent="0.2">
      <c r="A6" s="143" t="s">
        <v>36</v>
      </c>
      <c r="B6" s="143"/>
      <c r="C6" s="143"/>
      <c r="D6" s="143"/>
      <c r="E6" s="143"/>
      <c r="F6" s="63">
        <v>0</v>
      </c>
      <c r="H6" s="149" t="s">
        <v>37</v>
      </c>
      <c r="I6" s="150"/>
      <c r="J6" s="150"/>
      <c r="K6" s="150"/>
      <c r="L6" s="150"/>
      <c r="M6" s="151"/>
      <c r="N6" s="67">
        <f>CEILING( N4+F5+F6,1)</f>
        <v>19</v>
      </c>
    </row>
    <row r="7" spans="1:27" ht="13.5" thickBot="1" x14ac:dyDescent="0.25">
      <c r="A7" s="143" t="s">
        <v>38</v>
      </c>
      <c r="B7" s="143"/>
      <c r="C7" s="143"/>
      <c r="D7" s="143"/>
      <c r="E7" s="143"/>
      <c r="F7" s="63">
        <v>1</v>
      </c>
      <c r="H7" s="149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50"/>
      <c r="J7" s="150"/>
      <c r="K7" s="150"/>
      <c r="L7" s="150"/>
      <c r="M7" s="152"/>
      <c r="N7" s="70">
        <f>IF(F7&gt;1, CEILING( N5+F5+F6,1),0)</f>
        <v>0</v>
      </c>
    </row>
    <row r="8" spans="1:27" ht="13.5" thickBot="1" x14ac:dyDescent="0.25">
      <c r="A8" s="143" t="s">
        <v>39</v>
      </c>
      <c r="B8" s="143"/>
      <c r="C8" s="143"/>
      <c r="D8" s="143"/>
      <c r="E8" s="143"/>
      <c r="F8" s="63">
        <v>0</v>
      </c>
      <c r="L8" s="71" t="s">
        <v>40</v>
      </c>
      <c r="M8" s="71"/>
      <c r="N8" s="72">
        <f>((N6+(N7*(F7-1))))</f>
        <v>19</v>
      </c>
    </row>
    <row r="9" spans="1:27" x14ac:dyDescent="0.2">
      <c r="A9" s="66"/>
      <c r="B9" s="66"/>
      <c r="C9" s="66"/>
      <c r="D9" s="66"/>
      <c r="E9" s="66"/>
      <c r="H9" s="52"/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43" t="s">
        <v>42</v>
      </c>
      <c r="B11" s="143"/>
      <c r="C11" s="143"/>
      <c r="D11" s="143"/>
      <c r="E11" s="143"/>
      <c r="F11" s="63">
        <v>0.5</v>
      </c>
      <c r="H11" s="144" t="str">
        <f>CONCATENATE(N8+F12+F13+F14+F15+F11, " días")</f>
        <v>22 días</v>
      </c>
      <c r="I11" s="144"/>
      <c r="J11" s="144"/>
      <c r="K11" s="68" t="s">
        <v>43</v>
      </c>
      <c r="L11" s="68"/>
    </row>
    <row r="12" spans="1:27" ht="15.75" x14ac:dyDescent="0.25">
      <c r="A12" s="143" t="s">
        <v>44</v>
      </c>
      <c r="B12" s="143"/>
      <c r="C12" s="143"/>
      <c r="D12" s="143"/>
      <c r="E12" s="143"/>
      <c r="F12" s="63">
        <v>0</v>
      </c>
      <c r="H12" s="144" t="str">
        <f>CONCATENATE((N8+F12+F13+F14+F15+F11)/20, " meses")</f>
        <v>1.1 meses</v>
      </c>
      <c r="I12" s="144"/>
      <c r="J12" s="144"/>
    </row>
    <row r="13" spans="1:27" ht="15.75" x14ac:dyDescent="0.25">
      <c r="A13" s="143" t="s">
        <v>45</v>
      </c>
      <c r="B13" s="143"/>
      <c r="C13" s="143"/>
      <c r="D13" s="143"/>
      <c r="E13" s="143"/>
      <c r="F13" s="63">
        <v>1</v>
      </c>
      <c r="H13" s="145">
        <f>((N8+F12+F13+F14+F15+F11)/20)</f>
        <v>1.1000000000000001</v>
      </c>
      <c r="I13" s="145"/>
      <c r="J13" s="145"/>
      <c r="K13" s="65" t="s">
        <v>46</v>
      </c>
      <c r="L13" s="65"/>
    </row>
    <row r="14" spans="1:27" x14ac:dyDescent="0.2">
      <c r="A14" s="143" t="s">
        <v>47</v>
      </c>
      <c r="B14" s="143"/>
      <c r="C14" s="143"/>
      <c r="D14" s="143"/>
      <c r="E14" s="143"/>
      <c r="F14" s="63">
        <v>0.5</v>
      </c>
    </row>
    <row r="15" spans="1:27" x14ac:dyDescent="0.2">
      <c r="A15" s="143" t="s">
        <v>48</v>
      </c>
      <c r="B15" s="143"/>
      <c r="C15" s="143"/>
      <c r="D15" s="143"/>
      <c r="E15" s="143"/>
      <c r="F15" s="63">
        <v>1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28" t="s">
        <v>164</v>
      </c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</row>
    <row r="23" spans="1:21" ht="17.25" thickBot="1" x14ac:dyDescent="0.35">
      <c r="A23" s="134" t="s">
        <v>53</v>
      </c>
      <c r="B23" s="135"/>
      <c r="C23" s="135"/>
      <c r="D23" s="135"/>
      <c r="E23" s="135"/>
      <c r="F23" s="136"/>
      <c r="H23" s="125" t="s">
        <v>165</v>
      </c>
      <c r="I23" s="125"/>
      <c r="J23" s="125"/>
      <c r="K23" s="125"/>
      <c r="L23" s="125" t="s">
        <v>166</v>
      </c>
      <c r="M23" s="125"/>
      <c r="N23" s="125"/>
      <c r="O23" s="125"/>
      <c r="P23" s="125"/>
      <c r="Q23" s="125"/>
      <c r="R23" s="125"/>
      <c r="S23" s="125"/>
      <c r="T23" s="125"/>
      <c r="U23" s="125"/>
    </row>
    <row r="24" spans="1:21" ht="15.75" x14ac:dyDescent="0.25">
      <c r="A24" s="137" t="s">
        <v>54</v>
      </c>
      <c r="B24" s="138"/>
      <c r="C24" s="138"/>
      <c r="D24" s="138"/>
      <c r="E24" s="138"/>
      <c r="F24" s="82">
        <f>F11</f>
        <v>0.5</v>
      </c>
      <c r="H24" s="129" t="str">
        <f>A24</f>
        <v>Preparación de equipo y ambientes</v>
      </c>
      <c r="I24" s="129"/>
      <c r="J24" s="129"/>
      <c r="K24" s="129"/>
      <c r="L24" s="127"/>
      <c r="M24" s="127"/>
      <c r="N24" s="127"/>
      <c r="O24" s="127"/>
      <c r="P24" s="127"/>
      <c r="Q24" s="127"/>
      <c r="R24" s="127"/>
      <c r="S24" s="127"/>
      <c r="T24" s="127"/>
      <c r="U24" s="127"/>
    </row>
    <row r="25" spans="1:21" ht="15.75" x14ac:dyDescent="0.25">
      <c r="A25" s="137" t="s">
        <v>55</v>
      </c>
      <c r="B25" s="138"/>
      <c r="C25" s="138"/>
      <c r="D25" s="138"/>
      <c r="E25" s="138"/>
      <c r="F25" s="82">
        <f>F12</f>
        <v>0</v>
      </c>
      <c r="H25" s="129" t="str">
        <f t="shared" ref="H25:H29" si="0">A25</f>
        <v>Exploración del negocio</v>
      </c>
      <c r="I25" s="129"/>
      <c r="J25" s="129"/>
      <c r="K25" s="129"/>
      <c r="L25" s="127"/>
      <c r="M25" s="127"/>
      <c r="N25" s="127"/>
      <c r="O25" s="127"/>
      <c r="P25" s="127"/>
      <c r="Q25" s="127"/>
      <c r="R25" s="127"/>
      <c r="S25" s="127"/>
      <c r="T25" s="127"/>
      <c r="U25" s="127"/>
    </row>
    <row r="26" spans="1:21" ht="15.75" x14ac:dyDescent="0.25">
      <c r="A26" s="139" t="str">
        <f>CONCATENATE("Desarrollo del sistema - (",F7,") Iteraci",IF(F7&gt;1,"ones","ón"))</f>
        <v>Desarrollo del sistema - (1) Iteración</v>
      </c>
      <c r="B26" s="140"/>
      <c r="C26" s="140"/>
      <c r="D26" s="140"/>
      <c r="E26" s="140"/>
      <c r="F26" s="83">
        <f>N8</f>
        <v>19</v>
      </c>
      <c r="H26" s="129" t="str">
        <f t="shared" si="0"/>
        <v>Desarrollo del sistema - (1) Iteración</v>
      </c>
      <c r="I26" s="129"/>
      <c r="J26" s="129"/>
      <c r="K26" s="129"/>
      <c r="L26" s="127"/>
      <c r="M26" s="127"/>
      <c r="N26" s="127"/>
      <c r="O26" s="127"/>
      <c r="P26" s="127"/>
      <c r="Q26" s="127"/>
      <c r="R26" s="127"/>
      <c r="S26" s="127"/>
      <c r="T26" s="127"/>
      <c r="U26" s="127"/>
    </row>
    <row r="27" spans="1:21" ht="15.75" x14ac:dyDescent="0.25">
      <c r="A27" s="139" t="s">
        <v>56</v>
      </c>
      <c r="B27" s="140"/>
      <c r="C27" s="140"/>
      <c r="D27" s="140"/>
      <c r="E27" s="140"/>
      <c r="F27" s="83">
        <f>F13</f>
        <v>1</v>
      </c>
      <c r="H27" s="129" t="str">
        <f t="shared" si="0"/>
        <v>Documentación, pruebas integrales y estabilización</v>
      </c>
      <c r="I27" s="129"/>
      <c r="J27" s="129"/>
      <c r="K27" s="129"/>
      <c r="L27" s="127"/>
      <c r="M27" s="127"/>
      <c r="N27" s="127"/>
      <c r="O27" s="127"/>
      <c r="P27" s="127"/>
      <c r="Q27" s="127"/>
      <c r="R27" s="127"/>
      <c r="S27" s="127"/>
      <c r="T27" s="127"/>
      <c r="U27" s="127"/>
    </row>
    <row r="28" spans="1:21" ht="15.75" x14ac:dyDescent="0.25">
      <c r="A28" s="139" t="s">
        <v>57</v>
      </c>
      <c r="B28" s="140"/>
      <c r="C28" s="140"/>
      <c r="D28" s="140"/>
      <c r="E28" s="140"/>
      <c r="F28" s="83">
        <f>F14</f>
        <v>0.5</v>
      </c>
      <c r="H28" s="129" t="str">
        <f t="shared" si="0"/>
        <v>Instalación</v>
      </c>
      <c r="I28" s="129"/>
      <c r="J28" s="129"/>
      <c r="K28" s="129"/>
      <c r="L28" s="127"/>
      <c r="M28" s="127"/>
      <c r="N28" s="127"/>
      <c r="O28" s="127"/>
      <c r="P28" s="127"/>
      <c r="Q28" s="127"/>
      <c r="R28" s="127"/>
      <c r="S28" s="127"/>
      <c r="T28" s="127"/>
      <c r="U28" s="127"/>
    </row>
    <row r="29" spans="1:21" ht="16.5" thickBot="1" x14ac:dyDescent="0.3">
      <c r="A29" s="141" t="s">
        <v>58</v>
      </c>
      <c r="B29" s="142"/>
      <c r="C29" s="142"/>
      <c r="D29" s="142"/>
      <c r="E29" s="142"/>
      <c r="F29" s="84">
        <f>F15</f>
        <v>1</v>
      </c>
      <c r="H29" s="129" t="str">
        <f t="shared" si="0"/>
        <v>Acompañamiento en producción</v>
      </c>
      <c r="I29" s="129"/>
      <c r="J29" s="129"/>
      <c r="K29" s="129"/>
      <c r="L29" s="127"/>
      <c r="M29" s="127"/>
      <c r="N29" s="127"/>
      <c r="O29" s="127"/>
      <c r="P29" s="127"/>
      <c r="Q29" s="127"/>
      <c r="R29" s="127"/>
      <c r="S29" s="127"/>
      <c r="T29" s="127"/>
      <c r="U29" s="127"/>
    </row>
    <row r="30" spans="1:21" ht="16.5" x14ac:dyDescent="0.3">
      <c r="A30" s="130" t="s">
        <v>59</v>
      </c>
      <c r="B30" s="131"/>
      <c r="C30" s="131"/>
      <c r="D30" s="131"/>
      <c r="E30" s="131"/>
      <c r="F30" s="85">
        <f>SUM(F24:F29)</f>
        <v>22</v>
      </c>
    </row>
    <row r="31" spans="1:21" ht="17.25" thickBot="1" x14ac:dyDescent="0.35">
      <c r="A31" s="132" t="s">
        <v>60</v>
      </c>
      <c r="B31" s="133"/>
      <c r="C31" s="133"/>
      <c r="D31" s="133"/>
      <c r="E31" s="133"/>
      <c r="F31" s="86">
        <f>F30/20</f>
        <v>1.1000000000000001</v>
      </c>
    </row>
    <row r="32" spans="1:21" x14ac:dyDescent="0.2">
      <c r="H32" s="126" t="s">
        <v>172</v>
      </c>
      <c r="I32" s="126"/>
      <c r="J32" s="126"/>
      <c r="K32" s="126"/>
      <c r="L32" s="126"/>
      <c r="M32" s="126"/>
      <c r="N32" s="126"/>
      <c r="O32" s="126"/>
      <c r="P32" s="126"/>
      <c r="Q32" s="126"/>
    </row>
    <row r="33" spans="8:17" x14ac:dyDescent="0.2">
      <c r="H33" s="114" t="s">
        <v>167</v>
      </c>
      <c r="I33" s="114" t="s">
        <v>168</v>
      </c>
      <c r="J33" s="114" t="s">
        <v>111</v>
      </c>
      <c r="K33" s="125" t="s">
        <v>169</v>
      </c>
      <c r="L33" s="125"/>
      <c r="M33" s="125"/>
      <c r="N33" s="125"/>
      <c r="O33" s="125"/>
      <c r="P33" s="125"/>
      <c r="Q33" s="125"/>
    </row>
    <row r="34" spans="8:17" x14ac:dyDescent="0.2">
      <c r="H34" s="115"/>
      <c r="I34" s="115"/>
      <c r="J34" s="115"/>
      <c r="K34" s="124"/>
      <c r="L34" s="124"/>
      <c r="M34" s="124"/>
      <c r="N34" s="124"/>
      <c r="O34" s="124"/>
      <c r="P34" s="124"/>
      <c r="Q34" s="124"/>
    </row>
    <row r="35" spans="8:17" x14ac:dyDescent="0.2">
      <c r="H35" s="115"/>
      <c r="I35" s="115"/>
      <c r="J35" s="115"/>
      <c r="K35" s="124"/>
      <c r="L35" s="124"/>
      <c r="M35" s="124"/>
      <c r="N35" s="124"/>
      <c r="O35" s="124"/>
      <c r="P35" s="124"/>
      <c r="Q35" s="124"/>
    </row>
    <row r="36" spans="8:17" x14ac:dyDescent="0.2">
      <c r="H36" s="115"/>
      <c r="I36" s="115"/>
      <c r="J36" s="115"/>
      <c r="K36" s="124"/>
      <c r="L36" s="124"/>
      <c r="M36" s="124"/>
      <c r="N36" s="124"/>
      <c r="O36" s="124"/>
      <c r="P36" s="124"/>
      <c r="Q36" s="124"/>
    </row>
    <row r="37" spans="8:17" x14ac:dyDescent="0.2">
      <c r="H37" s="115"/>
      <c r="I37" s="115"/>
      <c r="J37" s="115"/>
      <c r="K37" s="124"/>
      <c r="L37" s="124"/>
      <c r="M37" s="124"/>
      <c r="N37" s="124"/>
      <c r="O37" s="124"/>
      <c r="P37" s="124"/>
      <c r="Q37" s="124"/>
    </row>
    <row r="38" spans="8:17" x14ac:dyDescent="0.2">
      <c r="H38" s="115"/>
      <c r="I38" s="115"/>
      <c r="J38" s="115"/>
      <c r="K38" s="124"/>
      <c r="L38" s="124"/>
      <c r="M38" s="124"/>
      <c r="N38" s="124"/>
      <c r="O38" s="124"/>
      <c r="P38" s="124"/>
      <c r="Q38" s="124"/>
    </row>
    <row r="39" spans="8:17" x14ac:dyDescent="0.2">
      <c r="H39" s="115"/>
      <c r="I39" s="115"/>
      <c r="J39" s="115"/>
      <c r="K39" s="124"/>
      <c r="L39" s="124"/>
      <c r="M39" s="124"/>
      <c r="N39" s="124"/>
      <c r="O39" s="124"/>
      <c r="P39" s="124"/>
      <c r="Q39" s="124"/>
    </row>
    <row r="40" spans="8:17" x14ac:dyDescent="0.2">
      <c r="H40" s="115"/>
      <c r="I40" s="115"/>
      <c r="J40" s="115"/>
      <c r="K40" s="124"/>
      <c r="L40" s="124"/>
      <c r="M40" s="124"/>
      <c r="N40" s="124"/>
      <c r="O40" s="124"/>
      <c r="P40" s="124"/>
      <c r="Q40" s="124"/>
    </row>
    <row r="41" spans="8:17" x14ac:dyDescent="0.2">
      <c r="H41" s="115"/>
      <c r="I41" s="115"/>
      <c r="J41" s="115"/>
      <c r="K41" s="124"/>
      <c r="L41" s="124"/>
      <c r="M41" s="124"/>
      <c r="N41" s="124"/>
      <c r="O41" s="124"/>
      <c r="P41" s="124"/>
      <c r="Q41" s="124"/>
    </row>
    <row r="42" spans="8:17" x14ac:dyDescent="0.2">
      <c r="H42" s="115"/>
      <c r="I42" s="115"/>
      <c r="J42" s="115"/>
      <c r="K42" s="124"/>
      <c r="L42" s="124"/>
      <c r="M42" s="124"/>
      <c r="N42" s="124"/>
      <c r="O42" s="124"/>
      <c r="P42" s="124"/>
      <c r="Q42" s="124"/>
    </row>
  </sheetData>
  <sheetProtection sheet="1" objects="1" scenarios="1"/>
  <mergeCells count="55">
    <mergeCell ref="H12:J12"/>
    <mergeCell ref="H13:J13"/>
    <mergeCell ref="H11:J11"/>
    <mergeCell ref="H3:M3"/>
    <mergeCell ref="H4:M4"/>
    <mergeCell ref="H5:M5"/>
    <mergeCell ref="H6:M6"/>
    <mergeCell ref="H7:M7"/>
    <mergeCell ref="A7:E7"/>
    <mergeCell ref="A12:E12"/>
    <mergeCell ref="A13:E13"/>
    <mergeCell ref="A14:E14"/>
    <mergeCell ref="A15:E15"/>
    <mergeCell ref="A8:E8"/>
    <mergeCell ref="A11:E11"/>
    <mergeCell ref="A2:E2"/>
    <mergeCell ref="A3:E3"/>
    <mergeCell ref="A4:E4"/>
    <mergeCell ref="A5:E5"/>
    <mergeCell ref="A6:E6"/>
    <mergeCell ref="H27:K27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L28:U28"/>
    <mergeCell ref="L29:U29"/>
    <mergeCell ref="H22:U22"/>
    <mergeCell ref="K34:Q34"/>
    <mergeCell ref="K35:Q35"/>
    <mergeCell ref="L23:U23"/>
    <mergeCell ref="L24:U24"/>
    <mergeCell ref="L25:U25"/>
    <mergeCell ref="L26:U26"/>
    <mergeCell ref="L27:U27"/>
    <mergeCell ref="H28:K28"/>
    <mergeCell ref="H29:K29"/>
    <mergeCell ref="H23:K23"/>
    <mergeCell ref="H24:K24"/>
    <mergeCell ref="H25:K25"/>
    <mergeCell ref="H26:K26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</mergeCells>
  <dataValidations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51" activePane="bottomRight" state="frozen"/>
      <selection activeCell="C2" sqref="C2:G2"/>
      <selection pane="topRight" activeCell="C2" sqref="C2:G2"/>
      <selection pane="bottomLeft" activeCell="C2" sqref="C2:G2"/>
      <selection pane="bottomRight" activeCell="A82" sqref="A82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10900000</v>
      </c>
      <c r="C2" s="106" t="s">
        <v>80</v>
      </c>
      <c r="D2" s="1">
        <f>+D5+D8+D11+D14+D17+D20+D23+D29+D26+D32+D35+D38+D41+D44+D47</f>
        <v>10900000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15000000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SUM(D4:U4)</f>
        <v>0.2</v>
      </c>
      <c r="D4" s="60">
        <v>0.2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3000000</v>
      </c>
      <c r="D5" s="1">
        <f>D4*D3</f>
        <v>3000000</v>
      </c>
      <c r="E5" s="1">
        <f t="shared" ref="E5:M5" si="1">E4*E3</f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ref="N5:S5" si="2">N4*N3</f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ref="T5:U5" si="3">T4*T3</f>
        <v>0</v>
      </c>
      <c r="U5" s="1">
        <f t="shared" si="3"/>
        <v>0</v>
      </c>
    </row>
    <row r="6" spans="1:21" x14ac:dyDescent="0.2">
      <c r="A6" s="58" t="s">
        <v>173</v>
      </c>
      <c r="B6" s="10" t="s">
        <v>81</v>
      </c>
      <c r="C6" s="40"/>
      <c r="D6" s="59">
        <v>12000000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SUM(D7:U7)</f>
        <v>0.6</v>
      </c>
      <c r="D7" s="60">
        <v>0.6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7200000</v>
      </c>
      <c r="D8" s="1">
        <f>D7*D6</f>
        <v>7200000</v>
      </c>
      <c r="E8" s="1">
        <f t="shared" ref="E8" si="4">E7*E6</f>
        <v>0</v>
      </c>
      <c r="F8" s="1">
        <f t="shared" ref="F8" si="5">F7*F6</f>
        <v>0</v>
      </c>
      <c r="G8" s="1">
        <f t="shared" ref="G8" si="6">G7*G6</f>
        <v>0</v>
      </c>
      <c r="H8" s="1">
        <f t="shared" ref="H8" si="7">H7*H6</f>
        <v>0</v>
      </c>
      <c r="I8" s="1">
        <f t="shared" ref="I8" si="8">I7*I6</f>
        <v>0</v>
      </c>
      <c r="J8" s="1">
        <f t="shared" ref="J8" si="9">J7*J6</f>
        <v>0</v>
      </c>
      <c r="K8" s="1">
        <f t="shared" ref="K8" si="10">K7*K6</f>
        <v>0</v>
      </c>
      <c r="L8" s="1">
        <f t="shared" ref="L8:N8" si="11">L7*L6</f>
        <v>0</v>
      </c>
      <c r="M8" s="1">
        <f t="shared" ref="M8:R8" si="12">M7*M6</f>
        <v>0</v>
      </c>
      <c r="N8" s="1">
        <f t="shared" si="11"/>
        <v>0</v>
      </c>
      <c r="O8" s="1">
        <f t="shared" si="12"/>
        <v>0</v>
      </c>
      <c r="P8" s="1">
        <f t="shared" si="12"/>
        <v>0</v>
      </c>
      <c r="Q8" s="1">
        <f t="shared" si="12"/>
        <v>0</v>
      </c>
      <c r="R8" s="1">
        <f t="shared" si="12"/>
        <v>0</v>
      </c>
      <c r="S8" s="1">
        <f t="shared" ref="S8:U8" si="13">S7*S6</f>
        <v>0</v>
      </c>
      <c r="T8" s="1">
        <f t="shared" si="13"/>
        <v>0</v>
      </c>
      <c r="U8" s="1">
        <f t="shared" si="13"/>
        <v>0</v>
      </c>
    </row>
    <row r="9" spans="1:21" x14ac:dyDescent="0.2">
      <c r="A9" s="58" t="s">
        <v>174</v>
      </c>
      <c r="B9" s="10" t="s">
        <v>81</v>
      </c>
      <c r="C9" s="40"/>
      <c r="D9" s="59">
        <v>3000000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SUM(D10:U10)</f>
        <v>0.1</v>
      </c>
      <c r="D10" s="60">
        <v>0.1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300000</v>
      </c>
      <c r="D11" s="1">
        <f>D10*D9</f>
        <v>300000</v>
      </c>
      <c r="E11" s="1">
        <f t="shared" ref="E11" si="14">E10*E9</f>
        <v>0</v>
      </c>
      <c r="F11" s="1">
        <f t="shared" ref="F11" si="15">F10*F9</f>
        <v>0</v>
      </c>
      <c r="G11" s="1">
        <f t="shared" ref="G11" si="16">G10*G9</f>
        <v>0</v>
      </c>
      <c r="H11" s="1">
        <f t="shared" ref="H11" si="17">H10*H9</f>
        <v>0</v>
      </c>
      <c r="I11" s="1">
        <f t="shared" ref="I11" si="18">I10*I9</f>
        <v>0</v>
      </c>
      <c r="J11" s="1">
        <f t="shared" ref="J11" si="19">J10*J9</f>
        <v>0</v>
      </c>
      <c r="K11" s="1">
        <f t="shared" ref="K11" si="20">K10*K9</f>
        <v>0</v>
      </c>
      <c r="L11" s="1">
        <f t="shared" ref="L11:N11" si="21">L10*L9</f>
        <v>0</v>
      </c>
      <c r="M11" s="1">
        <f t="shared" ref="M11:R11" si="22">M10*M9</f>
        <v>0</v>
      </c>
      <c r="N11" s="1">
        <f t="shared" si="21"/>
        <v>0</v>
      </c>
      <c r="O11" s="1">
        <f t="shared" si="22"/>
        <v>0</v>
      </c>
      <c r="P11" s="1">
        <f t="shared" si="22"/>
        <v>0</v>
      </c>
      <c r="Q11" s="1">
        <f t="shared" si="22"/>
        <v>0</v>
      </c>
      <c r="R11" s="1">
        <f t="shared" si="22"/>
        <v>0</v>
      </c>
      <c r="S11" s="1">
        <f t="shared" ref="S11:U11" si="23">S10*S9</f>
        <v>0</v>
      </c>
      <c r="T11" s="1">
        <f t="shared" si="23"/>
        <v>0</v>
      </c>
      <c r="U11" s="1">
        <f t="shared" si="23"/>
        <v>0</v>
      </c>
    </row>
    <row r="12" spans="1:21" x14ac:dyDescent="0.2">
      <c r="A12" s="58" t="s">
        <v>175</v>
      </c>
      <c r="B12" s="10" t="s">
        <v>81</v>
      </c>
      <c r="C12" s="40"/>
      <c r="D12" s="59">
        <v>4000000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SUM(D13:U13)</f>
        <v>0.1</v>
      </c>
      <c r="D13" s="117">
        <v>0.1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400000</v>
      </c>
      <c r="D14" s="1">
        <f>D13*D12</f>
        <v>400000</v>
      </c>
      <c r="E14" s="1">
        <f t="shared" ref="E14" si="24">E13*E12</f>
        <v>0</v>
      </c>
      <c r="F14" s="1">
        <f t="shared" ref="F14" si="25">F13*F12</f>
        <v>0</v>
      </c>
      <c r="G14" s="1">
        <f t="shared" ref="G14" si="26">G13*G12</f>
        <v>0</v>
      </c>
      <c r="H14" s="1">
        <f t="shared" ref="H14" si="27">H13*H12</f>
        <v>0</v>
      </c>
      <c r="I14" s="1">
        <f t="shared" ref="I14" si="28">I13*I12</f>
        <v>0</v>
      </c>
      <c r="J14" s="1">
        <f t="shared" ref="J14" si="29">J13*J12</f>
        <v>0</v>
      </c>
      <c r="K14" s="1">
        <f t="shared" ref="K14" si="30">K13*K12</f>
        <v>0</v>
      </c>
      <c r="L14" s="1">
        <f t="shared" ref="L14:N14" si="31">L13*L12</f>
        <v>0</v>
      </c>
      <c r="M14" s="1">
        <f t="shared" ref="M14:R14" si="32">M13*M12</f>
        <v>0</v>
      </c>
      <c r="N14" s="1">
        <f t="shared" si="31"/>
        <v>0</v>
      </c>
      <c r="O14" s="1">
        <f t="shared" si="32"/>
        <v>0</v>
      </c>
      <c r="P14" s="1">
        <f t="shared" si="32"/>
        <v>0</v>
      </c>
      <c r="Q14" s="1">
        <f t="shared" si="32"/>
        <v>0</v>
      </c>
      <c r="R14" s="1">
        <f t="shared" si="32"/>
        <v>0</v>
      </c>
      <c r="S14" s="1">
        <f t="shared" ref="S14:U14" si="33">S13*S12</f>
        <v>0</v>
      </c>
      <c r="T14" s="1">
        <f t="shared" si="33"/>
        <v>0</v>
      </c>
      <c r="U14" s="1">
        <f t="shared" si="33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34">E16*E15</f>
        <v>0</v>
      </c>
      <c r="F17" s="1">
        <f t="shared" si="34"/>
        <v>0</v>
      </c>
      <c r="G17" s="1">
        <f t="shared" si="34"/>
        <v>0</v>
      </c>
      <c r="H17" s="1">
        <f t="shared" si="34"/>
        <v>0</v>
      </c>
      <c r="I17" s="1">
        <f t="shared" si="34"/>
        <v>0</v>
      </c>
      <c r="J17" s="1">
        <f t="shared" si="34"/>
        <v>0</v>
      </c>
      <c r="K17" s="1">
        <f t="shared" si="34"/>
        <v>0</v>
      </c>
      <c r="L17" s="1">
        <f t="shared" si="34"/>
        <v>0</v>
      </c>
      <c r="M17" s="1">
        <f t="shared" si="34"/>
        <v>0</v>
      </c>
      <c r="N17" s="1">
        <f t="shared" ref="N17:S17" si="35">N16*N15</f>
        <v>0</v>
      </c>
      <c r="O17" s="1">
        <f t="shared" si="35"/>
        <v>0</v>
      </c>
      <c r="P17" s="1">
        <f t="shared" si="35"/>
        <v>0</v>
      </c>
      <c r="Q17" s="1">
        <f t="shared" si="35"/>
        <v>0</v>
      </c>
      <c r="R17" s="1">
        <f t="shared" si="35"/>
        <v>0</v>
      </c>
      <c r="S17" s="1">
        <f t="shared" si="35"/>
        <v>0</v>
      </c>
      <c r="T17" s="1">
        <f t="shared" ref="T17:U17" si="36">T16*T15</f>
        <v>0</v>
      </c>
      <c r="U17" s="1">
        <f t="shared" si="36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37">E19*E18</f>
        <v>0</v>
      </c>
      <c r="F20" s="1">
        <f t="shared" si="37"/>
        <v>0</v>
      </c>
      <c r="G20" s="1">
        <f t="shared" si="37"/>
        <v>0</v>
      </c>
      <c r="H20" s="1">
        <f t="shared" si="37"/>
        <v>0</v>
      </c>
      <c r="I20" s="1">
        <f t="shared" si="37"/>
        <v>0</v>
      </c>
      <c r="J20" s="1">
        <f t="shared" si="37"/>
        <v>0</v>
      </c>
      <c r="K20" s="1">
        <f t="shared" si="37"/>
        <v>0</v>
      </c>
      <c r="L20" s="1">
        <f t="shared" si="37"/>
        <v>0</v>
      </c>
      <c r="M20" s="1">
        <f t="shared" si="37"/>
        <v>0</v>
      </c>
      <c r="N20" s="1">
        <f t="shared" ref="N20:S20" si="38">N19*N18</f>
        <v>0</v>
      </c>
      <c r="O20" s="1">
        <f t="shared" si="38"/>
        <v>0</v>
      </c>
      <c r="P20" s="1">
        <f t="shared" si="38"/>
        <v>0</v>
      </c>
      <c r="Q20" s="1">
        <f t="shared" si="38"/>
        <v>0</v>
      </c>
      <c r="R20" s="1">
        <f t="shared" si="38"/>
        <v>0</v>
      </c>
      <c r="S20" s="1">
        <f t="shared" si="38"/>
        <v>0</v>
      </c>
      <c r="T20" s="1">
        <f t="shared" ref="T20:U20" si="39">T19*T18</f>
        <v>0</v>
      </c>
      <c r="U20" s="1">
        <f t="shared" si="39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40">E22*E21</f>
        <v>0</v>
      </c>
      <c r="F23" s="1">
        <f t="shared" si="40"/>
        <v>0</v>
      </c>
      <c r="G23" s="1">
        <f t="shared" si="40"/>
        <v>0</v>
      </c>
      <c r="H23" s="1">
        <f t="shared" si="40"/>
        <v>0</v>
      </c>
      <c r="I23" s="1">
        <f t="shared" si="40"/>
        <v>0</v>
      </c>
      <c r="J23" s="1">
        <f t="shared" si="40"/>
        <v>0</v>
      </c>
      <c r="K23" s="1">
        <f t="shared" si="40"/>
        <v>0</v>
      </c>
      <c r="L23" s="1">
        <f t="shared" si="40"/>
        <v>0</v>
      </c>
      <c r="M23" s="1">
        <f t="shared" si="40"/>
        <v>0</v>
      </c>
      <c r="N23" s="1">
        <f t="shared" ref="N23:S23" si="41">N22*N21</f>
        <v>0</v>
      </c>
      <c r="O23" s="1">
        <f t="shared" si="41"/>
        <v>0</v>
      </c>
      <c r="P23" s="1">
        <f t="shared" si="41"/>
        <v>0</v>
      </c>
      <c r="Q23" s="1">
        <f t="shared" si="41"/>
        <v>0</v>
      </c>
      <c r="R23" s="1">
        <f t="shared" si="41"/>
        <v>0</v>
      </c>
      <c r="S23" s="1">
        <f t="shared" si="41"/>
        <v>0</v>
      </c>
      <c r="T23" s="1">
        <f t="shared" ref="T23:U23" si="42">T22*T21</f>
        <v>0</v>
      </c>
      <c r="U23" s="1">
        <f t="shared" si="42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43">E25*E24</f>
        <v>0</v>
      </c>
      <c r="F26" s="1">
        <f t="shared" si="43"/>
        <v>0</v>
      </c>
      <c r="G26" s="1">
        <f t="shared" si="43"/>
        <v>0</v>
      </c>
      <c r="H26" s="1">
        <f t="shared" si="43"/>
        <v>0</v>
      </c>
      <c r="I26" s="1">
        <f t="shared" si="43"/>
        <v>0</v>
      </c>
      <c r="J26" s="1">
        <f t="shared" si="43"/>
        <v>0</v>
      </c>
      <c r="K26" s="1">
        <f t="shared" si="43"/>
        <v>0</v>
      </c>
      <c r="L26" s="1">
        <f t="shared" si="43"/>
        <v>0</v>
      </c>
      <c r="M26" s="1">
        <f t="shared" si="43"/>
        <v>0</v>
      </c>
      <c r="N26" s="1">
        <f t="shared" si="43"/>
        <v>0</v>
      </c>
      <c r="O26" s="1">
        <f t="shared" si="43"/>
        <v>0</v>
      </c>
      <c r="P26" s="1">
        <f t="shared" ref="P26:U26" si="44">P25*P24</f>
        <v>0</v>
      </c>
      <c r="Q26" s="1">
        <f t="shared" si="44"/>
        <v>0</v>
      </c>
      <c r="R26" s="1">
        <f t="shared" si="44"/>
        <v>0</v>
      </c>
      <c r="S26" s="1">
        <f t="shared" si="44"/>
        <v>0</v>
      </c>
      <c r="T26" s="1">
        <f t="shared" si="44"/>
        <v>0</v>
      </c>
      <c r="U26" s="1">
        <f t="shared" si="44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45">E28*E27</f>
        <v>0</v>
      </c>
      <c r="F29" s="1">
        <f t="shared" si="45"/>
        <v>0</v>
      </c>
      <c r="G29" s="1">
        <f t="shared" si="45"/>
        <v>0</v>
      </c>
      <c r="H29" s="1">
        <f t="shared" si="45"/>
        <v>0</v>
      </c>
      <c r="I29" s="1">
        <f t="shared" si="45"/>
        <v>0</v>
      </c>
      <c r="J29" s="1">
        <f t="shared" si="45"/>
        <v>0</v>
      </c>
      <c r="K29" s="1">
        <f t="shared" si="45"/>
        <v>0</v>
      </c>
      <c r="L29" s="1">
        <f t="shared" si="45"/>
        <v>0</v>
      </c>
      <c r="M29" s="1">
        <f t="shared" si="45"/>
        <v>0</v>
      </c>
      <c r="N29" s="1">
        <f t="shared" ref="N29:S29" si="46">N28*N27</f>
        <v>0</v>
      </c>
      <c r="O29" s="1">
        <f t="shared" si="46"/>
        <v>0</v>
      </c>
      <c r="P29" s="1">
        <f t="shared" si="46"/>
        <v>0</v>
      </c>
      <c r="Q29" s="1">
        <f t="shared" si="46"/>
        <v>0</v>
      </c>
      <c r="R29" s="1">
        <f t="shared" si="46"/>
        <v>0</v>
      </c>
      <c r="S29" s="1">
        <f t="shared" si="46"/>
        <v>0</v>
      </c>
      <c r="T29" s="1">
        <f t="shared" ref="T29:U29" si="47">T28*T27</f>
        <v>0</v>
      </c>
      <c r="U29" s="1">
        <f t="shared" si="47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48">E31*E30</f>
        <v>0</v>
      </c>
      <c r="F32" s="1">
        <f t="shared" si="48"/>
        <v>0</v>
      </c>
      <c r="G32" s="1">
        <f t="shared" si="48"/>
        <v>0</v>
      </c>
      <c r="H32" s="1">
        <f t="shared" si="48"/>
        <v>0</v>
      </c>
      <c r="I32" s="1">
        <f t="shared" si="48"/>
        <v>0</v>
      </c>
      <c r="J32" s="1">
        <f t="shared" si="48"/>
        <v>0</v>
      </c>
      <c r="K32" s="1">
        <f t="shared" si="48"/>
        <v>0</v>
      </c>
      <c r="L32" s="1">
        <f t="shared" si="48"/>
        <v>0</v>
      </c>
      <c r="M32" s="1">
        <f t="shared" si="48"/>
        <v>0</v>
      </c>
      <c r="N32" s="1">
        <f t="shared" si="48"/>
        <v>0</v>
      </c>
      <c r="O32" s="1">
        <f t="shared" si="48"/>
        <v>0</v>
      </c>
      <c r="P32" s="1">
        <f t="shared" si="48"/>
        <v>0</v>
      </c>
      <c r="Q32" s="1">
        <f t="shared" si="48"/>
        <v>0</v>
      </c>
      <c r="R32" s="1">
        <f t="shared" si="48"/>
        <v>0</v>
      </c>
      <c r="S32" s="1">
        <f t="shared" si="48"/>
        <v>0</v>
      </c>
      <c r="T32" s="1">
        <f t="shared" si="48"/>
        <v>0</v>
      </c>
      <c r="U32" s="1">
        <f t="shared" si="48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49">E34*E33</f>
        <v>0</v>
      </c>
      <c r="F35" s="1">
        <f t="shared" si="49"/>
        <v>0</v>
      </c>
      <c r="G35" s="1">
        <f t="shared" si="49"/>
        <v>0</v>
      </c>
      <c r="H35" s="1">
        <f t="shared" si="49"/>
        <v>0</v>
      </c>
      <c r="I35" s="1">
        <f t="shared" si="49"/>
        <v>0</v>
      </c>
      <c r="J35" s="1">
        <f t="shared" si="49"/>
        <v>0</v>
      </c>
      <c r="K35" s="1">
        <f t="shared" si="49"/>
        <v>0</v>
      </c>
      <c r="L35" s="1">
        <f t="shared" si="49"/>
        <v>0</v>
      </c>
      <c r="M35" s="1">
        <f t="shared" si="49"/>
        <v>0</v>
      </c>
      <c r="N35" s="1">
        <f t="shared" si="49"/>
        <v>0</v>
      </c>
      <c r="O35" s="1">
        <f t="shared" si="49"/>
        <v>0</v>
      </c>
      <c r="P35" s="1">
        <f t="shared" si="49"/>
        <v>0</v>
      </c>
      <c r="Q35" s="1">
        <f t="shared" si="49"/>
        <v>0</v>
      </c>
      <c r="R35" s="1">
        <f t="shared" si="49"/>
        <v>0</v>
      </c>
      <c r="S35" s="1">
        <f t="shared" si="49"/>
        <v>0</v>
      </c>
      <c r="T35" s="1">
        <f t="shared" si="49"/>
        <v>0</v>
      </c>
      <c r="U35" s="1">
        <f t="shared" si="49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50">E37*E36</f>
        <v>0</v>
      </c>
      <c r="F38" s="1">
        <f t="shared" si="50"/>
        <v>0</v>
      </c>
      <c r="G38" s="1">
        <f t="shared" si="50"/>
        <v>0</v>
      </c>
      <c r="H38" s="1">
        <f t="shared" si="50"/>
        <v>0</v>
      </c>
      <c r="I38" s="1">
        <f t="shared" si="50"/>
        <v>0</v>
      </c>
      <c r="J38" s="1">
        <f t="shared" si="50"/>
        <v>0</v>
      </c>
      <c r="K38" s="1">
        <f t="shared" si="50"/>
        <v>0</v>
      </c>
      <c r="L38" s="1">
        <f t="shared" si="50"/>
        <v>0</v>
      </c>
      <c r="M38" s="1">
        <f t="shared" si="50"/>
        <v>0</v>
      </c>
      <c r="N38" s="1">
        <f t="shared" si="50"/>
        <v>0</v>
      </c>
      <c r="O38" s="1">
        <f t="shared" si="50"/>
        <v>0</v>
      </c>
      <c r="P38" s="1">
        <f t="shared" si="50"/>
        <v>0</v>
      </c>
      <c r="Q38" s="1">
        <f t="shared" si="50"/>
        <v>0</v>
      </c>
      <c r="R38" s="1">
        <f t="shared" si="50"/>
        <v>0</v>
      </c>
      <c r="S38" s="1">
        <f t="shared" si="50"/>
        <v>0</v>
      </c>
      <c r="T38" s="1">
        <f t="shared" si="50"/>
        <v>0</v>
      </c>
      <c r="U38" s="1">
        <f t="shared" si="50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51">E40*E39</f>
        <v>0</v>
      </c>
      <c r="F41" s="1">
        <f t="shared" si="51"/>
        <v>0</v>
      </c>
      <c r="G41" s="1">
        <f t="shared" si="51"/>
        <v>0</v>
      </c>
      <c r="H41" s="1">
        <f t="shared" si="51"/>
        <v>0</v>
      </c>
      <c r="I41" s="1">
        <f t="shared" si="51"/>
        <v>0</v>
      </c>
      <c r="J41" s="1">
        <f t="shared" si="51"/>
        <v>0</v>
      </c>
      <c r="K41" s="1">
        <f t="shared" si="51"/>
        <v>0</v>
      </c>
      <c r="L41" s="1">
        <f t="shared" si="51"/>
        <v>0</v>
      </c>
      <c r="M41" s="1">
        <f t="shared" si="51"/>
        <v>0</v>
      </c>
      <c r="N41" s="1">
        <f t="shared" si="51"/>
        <v>0</v>
      </c>
      <c r="O41" s="1">
        <f t="shared" si="51"/>
        <v>0</v>
      </c>
      <c r="P41" s="1">
        <f t="shared" si="51"/>
        <v>0</v>
      </c>
      <c r="Q41" s="1">
        <f t="shared" si="51"/>
        <v>0</v>
      </c>
      <c r="R41" s="1">
        <f t="shared" si="51"/>
        <v>0</v>
      </c>
      <c r="S41" s="1">
        <f t="shared" si="51"/>
        <v>0</v>
      </c>
      <c r="T41" s="1">
        <f t="shared" si="51"/>
        <v>0</v>
      </c>
      <c r="U41" s="1">
        <f t="shared" si="51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52">E43*E42</f>
        <v>0</v>
      </c>
      <c r="F44" s="1">
        <f t="shared" si="52"/>
        <v>0</v>
      </c>
      <c r="G44" s="1">
        <f t="shared" si="52"/>
        <v>0</v>
      </c>
      <c r="H44" s="1">
        <f t="shared" si="52"/>
        <v>0</v>
      </c>
      <c r="I44" s="1">
        <f t="shared" si="52"/>
        <v>0</v>
      </c>
      <c r="J44" s="1">
        <f t="shared" si="52"/>
        <v>0</v>
      </c>
      <c r="K44" s="1">
        <f t="shared" si="52"/>
        <v>0</v>
      </c>
      <c r="L44" s="1">
        <f t="shared" si="52"/>
        <v>0</v>
      </c>
      <c r="M44" s="1">
        <f t="shared" si="52"/>
        <v>0</v>
      </c>
      <c r="N44" s="1">
        <f t="shared" si="52"/>
        <v>0</v>
      </c>
      <c r="O44" s="1">
        <f t="shared" si="52"/>
        <v>0</v>
      </c>
      <c r="P44" s="1">
        <f t="shared" si="52"/>
        <v>0</v>
      </c>
      <c r="Q44" s="1">
        <f t="shared" si="52"/>
        <v>0</v>
      </c>
      <c r="R44" s="1">
        <f t="shared" si="52"/>
        <v>0</v>
      </c>
      <c r="S44" s="1">
        <f t="shared" si="52"/>
        <v>0</v>
      </c>
      <c r="T44" s="1">
        <f t="shared" si="52"/>
        <v>0</v>
      </c>
      <c r="U44" s="1">
        <f t="shared" si="52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53">E46*E45</f>
        <v>0</v>
      </c>
      <c r="F47" s="1">
        <f t="shared" si="53"/>
        <v>0</v>
      </c>
      <c r="G47" s="1">
        <f t="shared" si="53"/>
        <v>0</v>
      </c>
      <c r="H47" s="1">
        <f t="shared" si="53"/>
        <v>0</v>
      </c>
      <c r="I47" s="1">
        <f t="shared" si="53"/>
        <v>0</v>
      </c>
      <c r="J47" s="1">
        <f t="shared" si="53"/>
        <v>0</v>
      </c>
      <c r="K47" s="1">
        <f t="shared" si="53"/>
        <v>0</v>
      </c>
      <c r="L47" s="1">
        <f t="shared" si="53"/>
        <v>0</v>
      </c>
      <c r="M47" s="1">
        <f t="shared" si="53"/>
        <v>0</v>
      </c>
      <c r="N47" s="1">
        <f t="shared" si="53"/>
        <v>0</v>
      </c>
      <c r="O47" s="1">
        <f t="shared" si="53"/>
        <v>0</v>
      </c>
      <c r="P47" s="1">
        <f t="shared" si="53"/>
        <v>0</v>
      </c>
      <c r="Q47" s="1">
        <f t="shared" si="53"/>
        <v>0</v>
      </c>
      <c r="R47" s="1">
        <f t="shared" si="53"/>
        <v>0</v>
      </c>
      <c r="S47" s="1">
        <f t="shared" si="53"/>
        <v>0</v>
      </c>
      <c r="T47" s="1">
        <f t="shared" si="53"/>
        <v>0</v>
      </c>
      <c r="U47" s="1">
        <f t="shared" si="53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54">SUM(E51:E58)</f>
        <v>0</v>
      </c>
      <c r="F50" s="1">
        <f t="shared" si="54"/>
        <v>0</v>
      </c>
      <c r="G50" s="1">
        <f t="shared" si="54"/>
        <v>0</v>
      </c>
      <c r="H50" s="1">
        <f t="shared" si="54"/>
        <v>0</v>
      </c>
      <c r="I50" s="1">
        <f t="shared" si="54"/>
        <v>0</v>
      </c>
      <c r="J50" s="1">
        <f t="shared" si="54"/>
        <v>0</v>
      </c>
      <c r="K50" s="1">
        <f t="shared" si="54"/>
        <v>0</v>
      </c>
      <c r="L50" s="1">
        <f t="shared" si="54"/>
        <v>0</v>
      </c>
      <c r="M50" s="1">
        <f t="shared" si="54"/>
        <v>0</v>
      </c>
      <c r="N50" s="1">
        <f t="shared" si="54"/>
        <v>0</v>
      </c>
      <c r="O50" s="1">
        <f t="shared" si="54"/>
        <v>0</v>
      </c>
      <c r="P50" s="1">
        <f t="shared" si="54"/>
        <v>0</v>
      </c>
      <c r="Q50" s="1">
        <f t="shared" si="54"/>
        <v>0</v>
      </c>
      <c r="R50" s="1">
        <f t="shared" si="54"/>
        <v>0</v>
      </c>
      <c r="S50" s="1">
        <f t="shared" si="54"/>
        <v>0</v>
      </c>
      <c r="T50" s="1">
        <f t="shared" si="54"/>
        <v>0</v>
      </c>
      <c r="U50" s="1">
        <f t="shared" si="54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55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55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55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55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55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55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55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3">
        <f>CEILING(B50+B2,100000)</f>
        <v>10900000</v>
      </c>
      <c r="C60" s="154"/>
    </row>
    <row r="61" spans="1:21" x14ac:dyDescent="0.2">
      <c r="A61" s="46" t="s">
        <v>105</v>
      </c>
      <c r="B61" s="157"/>
      <c r="C61" s="158"/>
    </row>
    <row r="62" spans="1:21" x14ac:dyDescent="0.2">
      <c r="A62" s="46" t="s">
        <v>106</v>
      </c>
      <c r="B62" s="96">
        <v>0.11</v>
      </c>
      <c r="C62" s="47">
        <f>$B$60*B62</f>
        <v>1199000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5">
        <f>CEILING(+B60+C64+B61+C62+C63+C65,100000)</f>
        <v>12100000</v>
      </c>
      <c r="C66" s="156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12100000</v>
      </c>
      <c r="E69" s="19">
        <f t="shared" ref="E69:M69" si="56">SUM(E70:E77)*$B$66</f>
        <v>0</v>
      </c>
      <c r="F69" s="19">
        <f t="shared" si="56"/>
        <v>0</v>
      </c>
      <c r="G69" s="19">
        <f t="shared" si="56"/>
        <v>0</v>
      </c>
      <c r="H69" s="19">
        <f t="shared" si="56"/>
        <v>0</v>
      </c>
      <c r="I69" s="19">
        <f t="shared" si="56"/>
        <v>0</v>
      </c>
      <c r="J69" s="19">
        <f t="shared" si="56"/>
        <v>0</v>
      </c>
      <c r="K69" s="19">
        <f t="shared" si="56"/>
        <v>0</v>
      </c>
      <c r="L69" s="19">
        <f t="shared" si="56"/>
        <v>0</v>
      </c>
      <c r="M69" s="19">
        <f t="shared" si="56"/>
        <v>0</v>
      </c>
      <c r="N69" s="19">
        <f t="shared" ref="N69:O69" si="57">SUM(N70:N77)*$B$66</f>
        <v>0</v>
      </c>
      <c r="O69" s="19">
        <f t="shared" si="57"/>
        <v>0</v>
      </c>
      <c r="P69" s="19">
        <f t="shared" ref="P69:S69" si="58">SUM(P70:P77)*$B$66</f>
        <v>0</v>
      </c>
      <c r="Q69" s="19">
        <f t="shared" si="58"/>
        <v>0</v>
      </c>
      <c r="R69" s="19">
        <f t="shared" si="58"/>
        <v>0</v>
      </c>
      <c r="S69" s="19">
        <f t="shared" si="58"/>
        <v>0</v>
      </c>
      <c r="T69" s="19">
        <f t="shared" ref="T69:U69" si="59">SUM(T70:T77)*$B$66</f>
        <v>0</v>
      </c>
      <c r="U69" s="19">
        <f t="shared" si="59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4840000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60">SUM(D71:U71)</f>
        <v>0.6</v>
      </c>
      <c r="C71" s="81">
        <f t="shared" ref="C71:C77" si="61">SUM(D71:U71)*$B$66</f>
        <v>7260000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60"/>
        <v>0</v>
      </c>
      <c r="C72" s="81">
        <f t="shared" si="61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60"/>
        <v>0</v>
      </c>
      <c r="C73" s="81">
        <f t="shared" si="61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60"/>
        <v>0</v>
      </c>
      <c r="C74" s="81">
        <f t="shared" si="61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60"/>
        <v>0</v>
      </c>
      <c r="C75" s="81">
        <f t="shared" si="61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60"/>
        <v>0</v>
      </c>
      <c r="C76" s="81">
        <f t="shared" si="61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60"/>
        <v>0</v>
      </c>
      <c r="C77" s="81">
        <f t="shared" si="61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62">SUM(B70:B77)</f>
        <v>1</v>
      </c>
      <c r="C78" s="74">
        <f t="shared" si="62"/>
        <v>12100000</v>
      </c>
    </row>
    <row r="79" spans="1:21" x14ac:dyDescent="0.2">
      <c r="D79" s="52" t="s">
        <v>120</v>
      </c>
    </row>
  </sheetData>
  <sheetProtection sheet="1" objects="1" scenarios="1"/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42" activePane="bottomRight" state="frozen"/>
      <selection activeCell="C2" sqref="C2:G2"/>
      <selection pane="topRight" activeCell="C2" sqref="C2:G2"/>
      <selection pane="bottomLeft" activeCell="C2" sqref="C2:G2"/>
      <selection pane="bottomRight" activeCell="D3" sqref="D3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0.2</v>
      </c>
      <c r="D4" s="60">
        <f>'A cobrar'!D4</f>
        <v>0.2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0.6</v>
      </c>
      <c r="D7" s="60">
        <f>'A cobrar'!D7</f>
        <v>0.6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0.1</v>
      </c>
      <c r="D10" s="60">
        <f>'A cobrar'!D10</f>
        <v>0.1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0.1</v>
      </c>
      <c r="D13" s="60">
        <f>'A cobrar'!D13</f>
        <v>0.1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213686.00000000003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48400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262086.00000000003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59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59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12100000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12100000</v>
      </c>
      <c r="E3" s="92">
        <f t="shared" ref="E3:O3" si="0">D3+E2</f>
        <v>12100000</v>
      </c>
      <c r="F3" s="92">
        <f t="shared" si="0"/>
        <v>12100000</v>
      </c>
      <c r="G3" s="92">
        <f t="shared" si="0"/>
        <v>12100000</v>
      </c>
      <c r="H3" s="92">
        <f t="shared" si="0"/>
        <v>12100000</v>
      </c>
      <c r="I3" s="92">
        <f t="shared" si="0"/>
        <v>12100000</v>
      </c>
      <c r="J3" s="92">
        <f t="shared" si="0"/>
        <v>12100000</v>
      </c>
      <c r="K3" s="92">
        <f t="shared" si="0"/>
        <v>12100000</v>
      </c>
      <c r="L3" s="92">
        <f t="shared" si="0"/>
        <v>12100000</v>
      </c>
      <c r="M3" s="92">
        <f t="shared" si="0"/>
        <v>12100000</v>
      </c>
      <c r="N3" s="92">
        <f t="shared" si="0"/>
        <v>12100000</v>
      </c>
      <c r="O3" s="92">
        <f t="shared" si="0"/>
        <v>12100000</v>
      </c>
      <c r="P3" s="92">
        <f t="shared" ref="P3" si="1">O3+P2</f>
        <v>12100000</v>
      </c>
      <c r="Q3" s="92">
        <f t="shared" ref="Q3" si="2">P3+Q2</f>
        <v>12100000</v>
      </c>
      <c r="R3" s="92">
        <f t="shared" ref="R3" si="3">Q3+R2</f>
        <v>12100000</v>
      </c>
      <c r="S3" s="92">
        <f t="shared" ref="S3" si="4">R3+S2</f>
        <v>12100000</v>
      </c>
      <c r="T3" s="92">
        <f t="shared" ref="T3" si="5">S3+T2</f>
        <v>12100000</v>
      </c>
      <c r="U3" s="92">
        <f t="shared" ref="U3" si="6">T3+U2</f>
        <v>12100000</v>
      </c>
    </row>
    <row r="4" spans="1:21" x14ac:dyDescent="0.2">
      <c r="A4" s="18" t="s">
        <v>153</v>
      </c>
      <c r="B4" s="91">
        <f>'A cobrar'!B66:C66</f>
        <v>12100000</v>
      </c>
    </row>
    <row r="5" spans="1:21" x14ac:dyDescent="0.2">
      <c r="A5" s="18" t="s">
        <v>154</v>
      </c>
      <c r="B5" s="91">
        <f>'Costos planeados'!B68</f>
        <v>262086.00000000003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11837914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12100000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12100000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-12100000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-12100000</v>
      </c>
      <c r="E16" s="94">
        <f>E3-'Caja planeada'!E3</f>
        <v>-12100000</v>
      </c>
      <c r="F16" s="94">
        <f>F3-'Caja planeada'!F3</f>
        <v>-12100000</v>
      </c>
      <c r="G16" s="94">
        <f>G3-'Caja planeada'!G3</f>
        <v>-12100000</v>
      </c>
      <c r="H16" s="94">
        <f>H3-'Caja planeada'!H3</f>
        <v>-12100000</v>
      </c>
      <c r="I16" s="94">
        <f>I3-'Caja planeada'!I3</f>
        <v>-12100000</v>
      </c>
      <c r="J16" s="94">
        <f>J3-'Caja planeada'!J3</f>
        <v>-12100000</v>
      </c>
      <c r="K16" s="94">
        <f>K3-'Caja planeada'!K3</f>
        <v>-12100000</v>
      </c>
      <c r="L16" s="94">
        <f>L3-'Caja planeada'!L3</f>
        <v>-12100000</v>
      </c>
      <c r="M16" s="94">
        <f>M3-'Caja planeada'!M3</f>
        <v>-12100000</v>
      </c>
      <c r="N16" s="94">
        <f>N3-'Caja planeada'!N3</f>
        <v>-12100000</v>
      </c>
      <c r="O16" s="94">
        <f>O3-'Caja planeada'!O3</f>
        <v>-12100000</v>
      </c>
      <c r="P16" s="94">
        <f>P3-'Caja planeada'!P3</f>
        <v>-12100000</v>
      </c>
      <c r="Q16" s="94">
        <f>Q3-'Caja planeada'!Q3</f>
        <v>-12100000</v>
      </c>
      <c r="R16" s="94">
        <f>R3-'Caja planeada'!R3</f>
        <v>-12100000</v>
      </c>
      <c r="S16" s="94">
        <f>S3-'Caja planeada'!S3</f>
        <v>-12100000</v>
      </c>
      <c r="T16" s="94">
        <f>T3-'Caja planeada'!T3</f>
        <v>-12100000</v>
      </c>
      <c r="U16" s="94">
        <f>U3-'Caja planeada'!U3</f>
        <v>-12100000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2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2026-08-30T01:28:15Z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