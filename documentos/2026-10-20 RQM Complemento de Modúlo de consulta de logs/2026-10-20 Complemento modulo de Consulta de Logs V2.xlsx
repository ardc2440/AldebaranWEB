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2026-10-20 RQM Complemento de Modúlo de consulta de logs\"/>
    </mc:Choice>
  </mc:AlternateContent>
  <bookViews>
    <workbookView xWindow="0" yWindow="9555" windowWidth="28800" windowHeight="1180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F4" i="12" s="1"/>
  <c r="F30" i="12" l="1"/>
  <c r="F29" i="12"/>
  <c r="P6" i="12" l="1"/>
  <c r="D11" i="5" l="1"/>
  <c r="E8" i="5"/>
  <c r="F5" i="5"/>
  <c r="J5" i="5"/>
  <c r="N5" i="5"/>
  <c r="I8" i="5"/>
  <c r="M8" i="5"/>
  <c r="H11" i="5"/>
  <c r="L11" i="5"/>
  <c r="G14" i="5"/>
  <c r="K14" i="5"/>
  <c r="O5" i="5"/>
  <c r="D14" i="5"/>
  <c r="E5" i="5"/>
  <c r="G5" i="5"/>
  <c r="K5" i="5"/>
  <c r="F8" i="5"/>
  <c r="J8" i="5"/>
  <c r="N8" i="5"/>
  <c r="I11" i="5"/>
  <c r="M11" i="5"/>
  <c r="H14" i="5"/>
  <c r="L14" i="5"/>
  <c r="P5" i="5"/>
  <c r="E14" i="5"/>
  <c r="D5" i="5"/>
  <c r="H5" i="5"/>
  <c r="L5" i="5"/>
  <c r="G8" i="5"/>
  <c r="K8" i="5"/>
  <c r="F11" i="5"/>
  <c r="J11" i="5"/>
  <c r="N11" i="5"/>
  <c r="I14" i="5"/>
  <c r="M14" i="5"/>
  <c r="D8" i="5"/>
  <c r="E11" i="5"/>
  <c r="I5" i="5"/>
  <c r="M5" i="5"/>
  <c r="H8" i="5"/>
  <c r="L8" i="5"/>
  <c r="G11" i="5"/>
  <c r="K11" i="5"/>
  <c r="F14" i="5"/>
  <c r="J14" i="5"/>
  <c r="N14" i="5"/>
  <c r="S6" i="12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7" i="12"/>
  <c r="H29" i="12"/>
  <c r="H30" i="12"/>
  <c r="H31" i="12"/>
  <c r="H26" i="12"/>
  <c r="A28" i="12"/>
  <c r="H28" i="12" s="1"/>
  <c r="H9" i="12"/>
  <c r="H7" i="12"/>
  <c r="H12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O8" i="5"/>
  <c r="O11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6" i="12"/>
  <c r="A53" i="9"/>
  <c r="A52" i="9"/>
  <c r="A24" i="9"/>
  <c r="F31" i="12"/>
  <c r="F27" i="12"/>
  <c r="A55" i="9"/>
  <c r="A54" i="9"/>
  <c r="A51" i="9"/>
  <c r="A27" i="9"/>
  <c r="A21" i="9"/>
  <c r="A18" i="9"/>
  <c r="A15" i="9"/>
  <c r="A12" i="9"/>
  <c r="A9" i="9"/>
  <c r="A6" i="9"/>
  <c r="A3" i="9"/>
  <c r="N4" i="12"/>
  <c r="N5" i="12" s="1"/>
  <c r="N6" i="12" s="1"/>
  <c r="N8" i="12" s="1"/>
  <c r="G21" i="9" l="1"/>
  <c r="G23" i="9" s="1"/>
  <c r="N7" i="12"/>
  <c r="N9" i="12" s="1"/>
  <c r="N10" i="12" s="1"/>
  <c r="F28" i="12" s="1"/>
  <c r="F32" i="12" s="1"/>
  <c r="F33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3" i="5" s="1"/>
  <c r="C11" i="5"/>
  <c r="C10" i="5" s="1"/>
  <c r="G2" i="5"/>
  <c r="F2" i="5"/>
  <c r="E2" i="5"/>
  <c r="C8" i="5"/>
  <c r="C7" i="5" s="1"/>
  <c r="D2" i="5"/>
  <c r="C5" i="5"/>
  <c r="C4" i="5" s="1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23" i="9" l="1"/>
  <c r="C11" i="9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4" i="12"/>
  <c r="H15" i="12"/>
  <c r="H13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4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5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10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5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<sst xmlns="http://schemas.openxmlformats.org/spreadsheetml/2006/main" count="395" uniqueCount="182">
  <si>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</si>
  <si>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</si>
  <si>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</si>
  <si>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</si>
  <si>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</si>
  <si>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</si>
  <si>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</si>
  <si>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</si>
  <si>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</si>
  <si>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</si>
  <si>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</si>
  <si>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</si>
  <si>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</si>
  <si>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</si>
  <si>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</si>
  <si>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</si>
  <si>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</si>
  <si>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</si>
  <si>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</si>
  <si>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</si>
  <si>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</si>
  <si>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</si>
  <si>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</si>
  <si>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</si>
  <si>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</si>
  <si>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</si>
  <si>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</si>
  <si>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</si>
  <si>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</si>
  <si>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</si>
  <si>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</si>
  <si>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</si>
  <si>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</si>
  <si>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</si>
  <si>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</si>
  <si>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</si>
  <si>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</si>
  <si>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</si>
  <si>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</si>
  <si>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</si>
  <si>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</si>
  <si>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</si>
  <si>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</si>
  <si>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</si>
  <si>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</si>
  <si>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</si>
  <si>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</si>
  <si>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</si>
  <si>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</si>
  <si>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</si>
  <si>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</si>
  <si>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</si>
  <si>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</si>
  <si>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</si>
  <si>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</si>
  <si>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</si>
  <si>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</si>
  <si>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</si>
  <si>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</si>
  <si>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</si>
  <si>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</si>
  <si>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</si>
  <si>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</si>
  <si>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</si>
  <si>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</si>
  <si>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</si>
  <si>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</si>
  <si>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</si>
  <si>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</si>
  <si>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</si>
  <si>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</si>
  <si>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</si>
  <si>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</si>
  <si>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</si>
  <si>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</si>
  <si>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</si>
  <si>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</si>
  <si>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</si>
  <si>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</si>
  <si>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</si>
  <si>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</si>
  <si>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</si>
  <si>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</si>
  <si>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</si>
  <si>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</si>
  <si>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</si>
  <si>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</si>
  <si>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</si>
  <si>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</si>
  <si>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</si>
  <si>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</si>
  <si>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</si>
  <si>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</si>
  <si>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</si>
  <si>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</si>
  <si>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</si>
  <si>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</si>
  <si>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</si>
  <si>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</si>
  <si>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</si>
  <si>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</si>
  <si>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</si>
  <si>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</si>
  <si>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</si>
  <si>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</si>
  <si>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</si>
  <si>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</si>
  <si>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</si>
  <si>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</si>
  <si>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</si>
  <si>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</si>
  <si>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</si>
  <si>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</si>
  <si>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</si>
  <si>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</si>
  <si>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</si>
  <si>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</si>
  <si>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</si>
  <si>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</si>
  <si>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</si>
  <si>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</si>
  <si>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</si>
  <si>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</si>
  <si>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</si>
  <si>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</si>
  <si>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</si>
  <si>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</si>
  <si>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</si>
  <si>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</si>
  <si>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</si>
  <si>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</si>
  <si>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</si>
  <si>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</si>
  <si>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</si>
  <si>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</si>
  <si>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</si>
  <si>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</si>
  <si>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</si>
  <si>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</si>
  <si>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</si>
  <si>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</si>
  <si>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</si>
  <si>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</si>
  <si>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</si>
  <si>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</si>
  <si>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</si>
  <si>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</si>
  <si>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</si>
  <si>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</si>
  <si>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</si>
  <si>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</si>
  <si>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</si>
  <si>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</si>
  <si>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</si>
  <si>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</si>
  <si>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</si>
  <si>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</si>
  <si>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</si>
  <si>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</si>
  <si>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</si>
  <si>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</si>
  <si>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</si>
  <si>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</si>
  <si>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</si>
  <si>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</si>
  <si>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</si>
  <si>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</si>
  <si>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</si>
  <si>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</si>
  <si>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</si>
  <si>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</si>
  <si>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</si>
  <si>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</si>
  <si>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</si>
  <si>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</si>
  <si>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</si>
  <si>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</si>
  <si>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</si>
  <si>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</si>
  <si>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Dias de 8 Horas</t>
  </si>
  <si>
    <t>Total de esfuerzo en horas</t>
  </si>
  <si>
    <t>Total Esfuerzo en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</si>
</sst>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  <xf numFmtId="0" fontId="21" fillId="0" borderId="0" xfId="0" applyFont="1"/>
    <xf numFmtId="0" fontId="13" fillId="7" borderId="1" xfId="0" applyFont="1" applyFill="1" applyBorder="1"/>
    <xf numFmtId="0" fontId="13" fillId="0" borderId="1" xfId="0" applyFont="1" applyBorder="1"/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2" t="s">
        <v>0</v>
      </c>
      <c r="B1" s="123"/>
    </row>
    <row r="2" spans="1:11" x14ac:dyDescent="0.2">
      <c r="A2" s="119" t="s">
        <v>1</v>
      </c>
      <c r="B2" s="120"/>
      <c r="C2" s="121"/>
      <c r="D2" s="121"/>
      <c r="E2" s="121"/>
      <c r="F2" s="121"/>
      <c r="G2" s="121"/>
    </row>
    <row r="3" spans="1:11" x14ac:dyDescent="0.2">
      <c r="A3" s="119" t="s">
        <v>2</v>
      </c>
      <c r="B3" s="120"/>
      <c r="C3" s="121"/>
      <c r="D3" s="121"/>
      <c r="E3" s="121"/>
      <c r="F3" s="121"/>
      <c r="G3" s="121"/>
    </row>
    <row r="4" spans="1:11" x14ac:dyDescent="0.2">
      <c r="A4" s="119" t="s">
        <v>3</v>
      </c>
      <c r="B4" s="120"/>
      <c r="C4" s="121"/>
      <c r="D4" s="121"/>
      <c r="E4" s="121"/>
      <c r="F4" s="121"/>
      <c r="G4" s="121"/>
    </row>
    <row r="5" spans="1:11" x14ac:dyDescent="0.2">
      <c r="A5" s="119" t="s">
        <v>4</v>
      </c>
      <c r="B5" s="120"/>
      <c r="C5" s="121"/>
      <c r="D5" s="121"/>
      <c r="E5" s="121"/>
      <c r="F5" s="121"/>
      <c r="G5" s="121"/>
    </row>
    <row r="6" spans="1:11" x14ac:dyDescent="0.2">
      <c r="A6" s="4" t="s">
        <v>5</v>
      </c>
      <c r="B6" s="97"/>
      <c r="C6" s="121"/>
      <c r="D6" s="121"/>
      <c r="E6" s="121"/>
      <c r="F6" s="121"/>
      <c r="G6" s="121"/>
    </row>
    <row r="7" spans="1:11" x14ac:dyDescent="0.2">
      <c r="A7" s="119" t="s">
        <v>6</v>
      </c>
      <c r="B7" s="120"/>
      <c r="C7" s="121"/>
      <c r="D7" s="121"/>
      <c r="E7" s="121"/>
      <c r="F7" s="121"/>
      <c r="G7" s="121"/>
    </row>
    <row r="8" spans="1:11" x14ac:dyDescent="0.2">
      <c r="A8" s="122" t="s">
        <v>7</v>
      </c>
      <c r="B8" s="123"/>
      <c r="C8" s="121"/>
      <c r="D8" s="121"/>
      <c r="E8" s="121"/>
      <c r="F8" s="121"/>
      <c r="G8" s="121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C2:G2"/>
    <mergeCell ref="C3:G3"/>
    <mergeCell ref="C5:G5"/>
    <mergeCell ref="A1:B1"/>
    <mergeCell ref="A2:B2"/>
    <mergeCell ref="A3:B3"/>
    <mergeCell ref="A5:B5"/>
    <mergeCell ref="A4:B4"/>
    <mergeCell ref="C4:G4"/>
    <mergeCell ref="A7:B7"/>
    <mergeCell ref="C7:G7"/>
    <mergeCell ref="C8:G8"/>
    <mergeCell ref="A8:B8"/>
    <mergeCell ref="C6:G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2:AA44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28.42578125" customWidth="1"/>
    <col min="4" max="4" width="2" customWidth="1"/>
    <col min="5" max="5" width="4" customWidth="1"/>
    <col min="13" max="13" width="11.42578125" customWidth="1"/>
    <col min="14" max="14" width="12.28515625" bestFit="1" customWidth="1"/>
  </cols>
  <sheetData>
    <row r="2" spans="1:27" ht="15.75" x14ac:dyDescent="0.25">
      <c r="A2" s="163" t="s">
        <v>181</v>
      </c>
      <c r="B2" s="164">
        <f>97-20</f>
        <v>77</v>
      </c>
      <c r="C2" s="162"/>
    </row>
    <row r="3" spans="1:27" x14ac:dyDescent="0.2">
      <c r="A3" s="108" t="s">
        <v>28</v>
      </c>
      <c r="B3" s="109"/>
      <c r="H3" s="108" t="s">
        <v>29</v>
      </c>
      <c r="I3" s="108"/>
      <c r="J3" s="52"/>
      <c r="AA3" s="13" t="s">
        <v>170</v>
      </c>
    </row>
    <row r="4" spans="1:27" ht="12.75" customHeight="1" x14ac:dyDescent="0.2">
      <c r="A4" s="143" t="s">
        <v>30</v>
      </c>
      <c r="B4" s="143"/>
      <c r="C4" s="143"/>
      <c r="D4" s="143"/>
      <c r="E4" s="143"/>
      <c r="F4" s="118">
        <f>B2/8</f>
        <v>9.625</v>
      </c>
      <c r="H4" s="98" t="s">
        <v>31</v>
      </c>
      <c r="I4" s="99"/>
      <c r="J4" s="99"/>
      <c r="K4" s="99"/>
      <c r="L4" s="99"/>
      <c r="M4" s="100"/>
      <c r="N4" s="69">
        <f>CEILING(F4*(8/F6),1)</f>
        <v>20</v>
      </c>
      <c r="P4" s="144" t="s">
        <v>179</v>
      </c>
      <c r="Q4" s="144"/>
      <c r="S4" s="144" t="s">
        <v>180</v>
      </c>
      <c r="T4" s="144"/>
      <c r="AA4" s="13" t="s">
        <v>171</v>
      </c>
    </row>
    <row r="5" spans="1:27" x14ac:dyDescent="0.2">
      <c r="A5" s="143" t="s">
        <v>163</v>
      </c>
      <c r="B5" s="143"/>
      <c r="C5" s="143"/>
      <c r="D5" s="143"/>
      <c r="E5" s="143"/>
      <c r="F5" s="63">
        <v>1</v>
      </c>
      <c r="H5" s="148" t="s">
        <v>32</v>
      </c>
      <c r="I5" s="149"/>
      <c r="J5" s="149"/>
      <c r="K5" s="149"/>
      <c r="L5" s="149"/>
      <c r="M5" s="150"/>
      <c r="N5" s="67">
        <f>CEILING(N4/F5,1)</f>
        <v>20</v>
      </c>
      <c r="P5" s="144"/>
      <c r="Q5" s="144"/>
      <c r="S5" s="144"/>
      <c r="T5" s="144"/>
    </row>
    <row r="6" spans="1:27" ht="18" x14ac:dyDescent="0.25">
      <c r="A6" s="143" t="s">
        <v>33</v>
      </c>
      <c r="B6" s="143"/>
      <c r="C6" s="143"/>
      <c r="D6" s="143"/>
      <c r="E6" s="143"/>
      <c r="F6" s="63">
        <v>4</v>
      </c>
      <c r="H6" s="151" t="s">
        <v>34</v>
      </c>
      <c r="I6" s="152"/>
      <c r="J6" s="152"/>
      <c r="K6" s="152"/>
      <c r="L6" s="152"/>
      <c r="M6" s="153"/>
      <c r="N6" s="67">
        <f>CEILING((N5/F9)+F10,1)</f>
        <v>20</v>
      </c>
      <c r="P6" s="145">
        <f>F4+((F7+F8+F10)*F9)+F13+F14+F15+F16+F17</f>
        <v>12.125</v>
      </c>
      <c r="Q6" s="145"/>
      <c r="S6" s="145">
        <f>P6*8</f>
        <v>97</v>
      </c>
      <c r="T6" s="145"/>
    </row>
    <row r="7" spans="1:27" x14ac:dyDescent="0.2">
      <c r="A7" s="143" t="s">
        <v>35</v>
      </c>
      <c r="B7" s="143"/>
      <c r="C7" s="143"/>
      <c r="D7" s="143"/>
      <c r="E7" s="143"/>
      <c r="F7" s="63">
        <v>0</v>
      </c>
      <c r="H7" s="151" t="str">
        <f>IF(F9&gt;1, CONCATENATE("Duración de desarrollo de los Iteración 2 a ",F9,":"),"Duración Iteración 2 en adelante")</f>
        <v>Duración Iteración 2 en adelante</v>
      </c>
      <c r="I7" s="152"/>
      <c r="J7" s="152"/>
      <c r="K7" s="152"/>
      <c r="L7" s="152"/>
      <c r="M7" s="153"/>
      <c r="N7" s="67">
        <f>IF(F9&gt;1,CEILING( (N5/F9),1),0)</f>
        <v>0</v>
      </c>
    </row>
    <row r="8" spans="1:27" x14ac:dyDescent="0.2">
      <c r="A8" s="143" t="s">
        <v>36</v>
      </c>
      <c r="B8" s="143"/>
      <c r="C8" s="143"/>
      <c r="D8" s="143"/>
      <c r="E8" s="143"/>
      <c r="F8" s="63">
        <v>0</v>
      </c>
      <c r="H8" s="151" t="s">
        <v>37</v>
      </c>
      <c r="I8" s="152"/>
      <c r="J8" s="152"/>
      <c r="K8" s="152"/>
      <c r="L8" s="152"/>
      <c r="M8" s="153"/>
      <c r="N8" s="67">
        <f>CEILING( N6+F7+F8,1)</f>
        <v>20</v>
      </c>
    </row>
    <row r="9" spans="1:27" ht="13.5" thickBot="1" x14ac:dyDescent="0.25">
      <c r="A9" s="143" t="s">
        <v>38</v>
      </c>
      <c r="B9" s="143"/>
      <c r="C9" s="143"/>
      <c r="D9" s="143"/>
      <c r="E9" s="143"/>
      <c r="F9" s="63">
        <v>1</v>
      </c>
      <c r="H9" s="151" t="str">
        <f>IF(F9&gt;1, CONCATENATE("Duración total de los Iteración 2 a ",F9," (incluye planeación y presentación):"),"Duración Iteración 2 en adelante  (incluye planeación y presentación)")</f>
        <v>Duración Iteración 2 en adelante  (incluye planeación y presentación)</v>
      </c>
      <c r="I9" s="152"/>
      <c r="J9" s="152"/>
      <c r="K9" s="152"/>
      <c r="L9" s="152"/>
      <c r="M9" s="154"/>
      <c r="N9" s="70">
        <f>IF(F9&gt;1, CEILING( N7+F7+F8,1),0)</f>
        <v>0</v>
      </c>
    </row>
    <row r="10" spans="1:27" ht="13.5" thickBot="1" x14ac:dyDescent="0.25">
      <c r="A10" s="143" t="s">
        <v>39</v>
      </c>
      <c r="B10" s="143"/>
      <c r="C10" s="143"/>
      <c r="D10" s="143"/>
      <c r="E10" s="143"/>
      <c r="F10" s="63">
        <v>0</v>
      </c>
      <c r="L10" s="71" t="s">
        <v>40</v>
      </c>
      <c r="M10" s="71"/>
      <c r="N10" s="72">
        <f>((N8+(N9*(F9-1))))</f>
        <v>20</v>
      </c>
    </row>
    <row r="11" spans="1:27" x14ac:dyDescent="0.2">
      <c r="A11" s="66"/>
      <c r="B11" s="66"/>
      <c r="C11" s="66"/>
      <c r="D11" s="66"/>
      <c r="E11" s="66"/>
      <c r="H11" s="52"/>
    </row>
    <row r="12" spans="1:27" ht="15.75" x14ac:dyDescent="0.25">
      <c r="A12" s="110" t="s">
        <v>41</v>
      </c>
      <c r="B12" s="111"/>
      <c r="C12" s="66"/>
      <c r="D12" s="66"/>
      <c r="E12" s="66"/>
      <c r="H12" s="112" t="str">
        <f>CONCATENATE("Tiempo total con ",F9," Iteraciones")</f>
        <v>Tiempo total con 1 Iteraciones</v>
      </c>
      <c r="I12" s="113"/>
      <c r="J12" s="109"/>
    </row>
    <row r="13" spans="1:27" ht="15.75" x14ac:dyDescent="0.25">
      <c r="A13" s="143" t="s">
        <v>42</v>
      </c>
      <c r="B13" s="143"/>
      <c r="C13" s="143"/>
      <c r="D13" s="143"/>
      <c r="E13" s="143"/>
      <c r="F13" s="63">
        <v>0.5</v>
      </c>
      <c r="H13" s="146" t="str">
        <f>CONCATENATE(N10+F14+F15+F16+F17+F13, " días")</f>
        <v>22.5 días</v>
      </c>
      <c r="I13" s="146"/>
      <c r="J13" s="146"/>
      <c r="K13" s="68" t="s">
        <v>43</v>
      </c>
      <c r="L13" s="68"/>
    </row>
    <row r="14" spans="1:27" ht="15.75" x14ac:dyDescent="0.25">
      <c r="A14" s="143" t="s">
        <v>44</v>
      </c>
      <c r="B14" s="143"/>
      <c r="C14" s="143"/>
      <c r="D14" s="143"/>
      <c r="E14" s="143"/>
      <c r="F14" s="63">
        <v>0</v>
      </c>
      <c r="H14" s="146" t="str">
        <f>CONCATENATE((N10+F14+F15+F16+F17+F13)/20, " meses")</f>
        <v>1.125 meses</v>
      </c>
      <c r="I14" s="146"/>
      <c r="J14" s="146"/>
    </row>
    <row r="15" spans="1:27" ht="15.75" x14ac:dyDescent="0.25">
      <c r="A15" s="143" t="s">
        <v>45</v>
      </c>
      <c r="B15" s="143"/>
      <c r="C15" s="143"/>
      <c r="D15" s="143"/>
      <c r="E15" s="143"/>
      <c r="F15" s="63">
        <v>1</v>
      </c>
      <c r="H15" s="147">
        <f>((N10+F14+F15+F16+F17+F13)/20)</f>
        <v>1.125</v>
      </c>
      <c r="I15" s="147"/>
      <c r="J15" s="147"/>
      <c r="K15" s="65" t="s">
        <v>46</v>
      </c>
      <c r="L15" s="65"/>
    </row>
    <row r="16" spans="1:27" x14ac:dyDescent="0.2">
      <c r="A16" s="143" t="s">
        <v>47</v>
      </c>
      <c r="B16" s="143"/>
      <c r="C16" s="143"/>
      <c r="D16" s="143"/>
      <c r="E16" s="143"/>
      <c r="F16" s="63">
        <v>0.5</v>
      </c>
    </row>
    <row r="17" spans="1:21" x14ac:dyDescent="0.2">
      <c r="A17" s="143" t="s">
        <v>48</v>
      </c>
      <c r="B17" s="143"/>
      <c r="C17" s="143"/>
      <c r="D17" s="143"/>
      <c r="E17" s="143"/>
      <c r="F17" s="63">
        <v>0.5</v>
      </c>
    </row>
    <row r="19" spans="1:21" x14ac:dyDescent="0.2">
      <c r="A19" s="52" t="s">
        <v>49</v>
      </c>
    </row>
    <row r="20" spans="1:21" x14ac:dyDescent="0.2">
      <c r="A20" s="65" t="s">
        <v>50</v>
      </c>
    </row>
    <row r="21" spans="1:21" x14ac:dyDescent="0.2">
      <c r="A21" s="65" t="s">
        <v>51</v>
      </c>
    </row>
    <row r="23" spans="1:21" x14ac:dyDescent="0.2">
      <c r="A23" s="57" t="s">
        <v>52</v>
      </c>
      <c r="B23" s="9"/>
      <c r="C23" s="9"/>
      <c r="D23" s="9"/>
      <c r="E23" s="9"/>
      <c r="F23" s="9"/>
    </row>
    <row r="24" spans="1:21" ht="13.5" thickBot="1" x14ac:dyDescent="0.25">
      <c r="H24" s="125" t="s">
        <v>164</v>
      </c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</row>
    <row r="25" spans="1:21" ht="17.25" thickBot="1" x14ac:dyDescent="0.35">
      <c r="A25" s="134" t="s">
        <v>53</v>
      </c>
      <c r="B25" s="135"/>
      <c r="C25" s="135"/>
      <c r="D25" s="135"/>
      <c r="E25" s="135"/>
      <c r="F25" s="136"/>
      <c r="H25" s="127" t="s">
        <v>165</v>
      </c>
      <c r="I25" s="127"/>
      <c r="J25" s="127"/>
      <c r="K25" s="127"/>
      <c r="L25" s="127" t="s">
        <v>166</v>
      </c>
      <c r="M25" s="127"/>
      <c r="N25" s="127"/>
      <c r="O25" s="127"/>
      <c r="P25" s="127"/>
      <c r="Q25" s="127"/>
      <c r="R25" s="127"/>
      <c r="S25" s="127"/>
      <c r="T25" s="127"/>
      <c r="U25" s="127"/>
    </row>
    <row r="26" spans="1:21" ht="15.75" x14ac:dyDescent="0.25">
      <c r="A26" s="137" t="s">
        <v>54</v>
      </c>
      <c r="B26" s="138"/>
      <c r="C26" s="138"/>
      <c r="D26" s="138"/>
      <c r="E26" s="138"/>
      <c r="F26" s="82">
        <f>F13</f>
        <v>0.5</v>
      </c>
      <c r="H26" s="129" t="str">
        <f>A26</f>
        <v>Preparación de equipo y ambientes</v>
      </c>
      <c r="I26" s="129"/>
      <c r="J26" s="129"/>
      <c r="K26" s="129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1" ht="15.75" x14ac:dyDescent="0.25">
      <c r="A27" s="137" t="s">
        <v>55</v>
      </c>
      <c r="B27" s="138"/>
      <c r="C27" s="138"/>
      <c r="D27" s="138"/>
      <c r="E27" s="138"/>
      <c r="F27" s="82">
        <f>F14</f>
        <v>0</v>
      </c>
      <c r="H27" s="129" t="str">
        <f t="shared" ref="H27:H31" si="0">A27</f>
        <v>Exploración del negocio</v>
      </c>
      <c r="I27" s="129"/>
      <c r="J27" s="129"/>
      <c r="K27" s="129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spans="1:21" ht="15.75" x14ac:dyDescent="0.25">
      <c r="A28" s="139" t="str">
        <f>CONCATENATE("Desarrollo del sistema - (",F9,") Iteraci",IF(F9&gt;1,"ones","ón"))</f>
        <v>Desarrollo del sistema - (1) Iteración</v>
      </c>
      <c r="B28" s="140"/>
      <c r="C28" s="140"/>
      <c r="D28" s="140"/>
      <c r="E28" s="140"/>
      <c r="F28" s="83">
        <f>N10</f>
        <v>20</v>
      </c>
      <c r="H28" s="129" t="str">
        <f t="shared" si="0"/>
        <v>Desarrollo del sistema - (1) Iteración</v>
      </c>
      <c r="I28" s="129"/>
      <c r="J28" s="129"/>
      <c r="K28" s="129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spans="1:21" ht="15.75" x14ac:dyDescent="0.25">
      <c r="A29" s="139" t="s">
        <v>56</v>
      </c>
      <c r="B29" s="140"/>
      <c r="C29" s="140"/>
      <c r="D29" s="140"/>
      <c r="E29" s="140"/>
      <c r="F29" s="83">
        <f>F15</f>
        <v>1</v>
      </c>
      <c r="H29" s="129" t="str">
        <f t="shared" si="0"/>
        <v>Documentación, pruebas integrales y estabilización</v>
      </c>
      <c r="I29" s="129"/>
      <c r="J29" s="129"/>
      <c r="K29" s="129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  <row r="30" spans="1:21" ht="15.75" x14ac:dyDescent="0.25">
      <c r="A30" s="139" t="s">
        <v>57</v>
      </c>
      <c r="B30" s="140"/>
      <c r="C30" s="140"/>
      <c r="D30" s="140"/>
      <c r="E30" s="140"/>
      <c r="F30" s="83">
        <f>F16</f>
        <v>0.5</v>
      </c>
      <c r="H30" s="129" t="str">
        <f t="shared" si="0"/>
        <v>Instalación</v>
      </c>
      <c r="I30" s="129"/>
      <c r="J30" s="129"/>
      <c r="K30" s="129"/>
      <c r="L30" s="124"/>
      <c r="M30" s="124"/>
      <c r="N30" s="124"/>
      <c r="O30" s="124"/>
      <c r="P30" s="124"/>
      <c r="Q30" s="124"/>
      <c r="R30" s="124"/>
      <c r="S30" s="124"/>
      <c r="T30" s="124"/>
      <c r="U30" s="124"/>
    </row>
    <row r="31" spans="1:21" ht="16.5" thickBot="1" x14ac:dyDescent="0.3">
      <c r="A31" s="141" t="s">
        <v>58</v>
      </c>
      <c r="B31" s="142"/>
      <c r="C31" s="142"/>
      <c r="D31" s="142"/>
      <c r="E31" s="142"/>
      <c r="F31" s="84">
        <f>F17</f>
        <v>0.5</v>
      </c>
      <c r="H31" s="129" t="str">
        <f t="shared" si="0"/>
        <v>Acompañamiento en producción</v>
      </c>
      <c r="I31" s="129"/>
      <c r="J31" s="129"/>
      <c r="K31" s="129"/>
      <c r="L31" s="124"/>
      <c r="M31" s="124"/>
      <c r="N31" s="124"/>
      <c r="O31" s="124"/>
      <c r="P31" s="124"/>
      <c r="Q31" s="124"/>
      <c r="R31" s="124"/>
      <c r="S31" s="124"/>
      <c r="T31" s="124"/>
      <c r="U31" s="124"/>
    </row>
    <row r="32" spans="1:21" ht="16.5" x14ac:dyDescent="0.3">
      <c r="A32" s="130" t="s">
        <v>59</v>
      </c>
      <c r="B32" s="131"/>
      <c r="C32" s="131"/>
      <c r="D32" s="131"/>
      <c r="E32" s="131"/>
      <c r="F32" s="85">
        <f>SUM(F26:F31)</f>
        <v>22.5</v>
      </c>
    </row>
    <row r="33" spans="1:17" ht="17.25" thickBot="1" x14ac:dyDescent="0.35">
      <c r="A33" s="132" t="s">
        <v>60</v>
      </c>
      <c r="B33" s="133"/>
      <c r="C33" s="133"/>
      <c r="D33" s="133"/>
      <c r="E33" s="133"/>
      <c r="F33" s="86">
        <f>F32/20</f>
        <v>1.125</v>
      </c>
    </row>
    <row r="34" spans="1:17" x14ac:dyDescent="0.2">
      <c r="H34" s="128" t="s">
        <v>172</v>
      </c>
      <c r="I34" s="128"/>
      <c r="J34" s="128"/>
      <c r="K34" s="128"/>
      <c r="L34" s="128"/>
      <c r="M34" s="128"/>
      <c r="N34" s="128"/>
      <c r="O34" s="128"/>
      <c r="P34" s="128"/>
      <c r="Q34" s="128"/>
    </row>
    <row r="35" spans="1:17" x14ac:dyDescent="0.2">
      <c r="H35" s="114" t="s">
        <v>167</v>
      </c>
      <c r="I35" s="114" t="s">
        <v>168</v>
      </c>
      <c r="J35" s="114" t="s">
        <v>111</v>
      </c>
      <c r="K35" s="127" t="s">
        <v>169</v>
      </c>
      <c r="L35" s="127"/>
      <c r="M35" s="127"/>
      <c r="N35" s="127"/>
      <c r="O35" s="127"/>
      <c r="P35" s="127"/>
      <c r="Q35" s="127"/>
    </row>
    <row r="36" spans="1:17" x14ac:dyDescent="0.2">
      <c r="H36" s="115"/>
      <c r="I36" s="115"/>
      <c r="J36" s="115"/>
      <c r="K36" s="126"/>
      <c r="L36" s="126"/>
      <c r="M36" s="126"/>
      <c r="N36" s="126"/>
      <c r="O36" s="126"/>
      <c r="P36" s="126"/>
      <c r="Q36" s="126"/>
    </row>
    <row r="37" spans="1:17" x14ac:dyDescent="0.2">
      <c r="H37" s="115"/>
      <c r="I37" s="115"/>
      <c r="J37" s="115"/>
      <c r="K37" s="126"/>
      <c r="L37" s="126"/>
      <c r="M37" s="126"/>
      <c r="N37" s="126"/>
      <c r="O37" s="126"/>
      <c r="P37" s="126"/>
      <c r="Q37" s="126"/>
    </row>
    <row r="38" spans="1:17" x14ac:dyDescent="0.2">
      <c r="H38" s="115"/>
      <c r="I38" s="115"/>
      <c r="J38" s="115"/>
      <c r="K38" s="126"/>
      <c r="L38" s="126"/>
      <c r="M38" s="126"/>
      <c r="N38" s="126"/>
      <c r="O38" s="126"/>
      <c r="P38" s="126"/>
      <c r="Q38" s="126"/>
    </row>
    <row r="39" spans="1:17" x14ac:dyDescent="0.2">
      <c r="H39" s="115"/>
      <c r="I39" s="115"/>
      <c r="J39" s="115"/>
      <c r="K39" s="126"/>
      <c r="L39" s="126"/>
      <c r="M39" s="126"/>
      <c r="N39" s="126"/>
      <c r="O39" s="126"/>
      <c r="P39" s="126"/>
      <c r="Q39" s="126"/>
    </row>
    <row r="40" spans="1:17" x14ac:dyDescent="0.2">
      <c r="H40" s="115"/>
      <c r="I40" s="115"/>
      <c r="J40" s="115"/>
      <c r="K40" s="126"/>
      <c r="L40" s="126"/>
      <c r="M40" s="126"/>
      <c r="N40" s="126"/>
      <c r="O40" s="126"/>
      <c r="P40" s="126"/>
      <c r="Q40" s="126"/>
    </row>
    <row r="41" spans="1:17" x14ac:dyDescent="0.2">
      <c r="H41" s="115"/>
      <c r="I41" s="115"/>
      <c r="J41" s="115"/>
      <c r="K41" s="126"/>
      <c r="L41" s="126"/>
      <c r="M41" s="126"/>
      <c r="N41" s="126"/>
      <c r="O41" s="126"/>
      <c r="P41" s="126"/>
      <c r="Q41" s="126"/>
    </row>
    <row r="42" spans="1:17" x14ac:dyDescent="0.2">
      <c r="H42" s="115"/>
      <c r="I42" s="115"/>
      <c r="J42" s="115"/>
      <c r="K42" s="126"/>
      <c r="L42" s="126"/>
      <c r="M42" s="126"/>
      <c r="N42" s="126"/>
      <c r="O42" s="126"/>
      <c r="P42" s="126"/>
      <c r="Q42" s="126"/>
    </row>
    <row r="43" spans="1:17" x14ac:dyDescent="0.2">
      <c r="H43" s="115"/>
      <c r="I43" s="115"/>
      <c r="J43" s="115"/>
      <c r="K43" s="126"/>
      <c r="L43" s="126"/>
      <c r="M43" s="126"/>
      <c r="N43" s="126"/>
      <c r="O43" s="126"/>
      <c r="P43" s="126"/>
      <c r="Q43" s="126"/>
    </row>
    <row r="44" spans="1:17" x14ac:dyDescent="0.2">
      <c r="H44" s="115"/>
      <c r="I44" s="115"/>
      <c r="J44" s="115"/>
      <c r="K44" s="126"/>
      <c r="L44" s="126"/>
      <c r="M44" s="126"/>
      <c r="N44" s="126"/>
      <c r="O44" s="126"/>
      <c r="P44" s="126"/>
      <c r="Q44" s="126"/>
    </row>
  </sheetData>
  <mergeCells count="59">
    <mergeCell ref="S4:T5"/>
    <mergeCell ref="S6:T6"/>
    <mergeCell ref="H14:J14"/>
    <mergeCell ref="H15:J15"/>
    <mergeCell ref="H13:J13"/>
    <mergeCell ref="H5:M5"/>
    <mergeCell ref="H6:M6"/>
    <mergeCell ref="H7:M7"/>
    <mergeCell ref="H8:M8"/>
    <mergeCell ref="H9:M9"/>
    <mergeCell ref="P4:Q5"/>
    <mergeCell ref="P6:Q6"/>
    <mergeCell ref="A9:E9"/>
    <mergeCell ref="A14:E14"/>
    <mergeCell ref="A15:E15"/>
    <mergeCell ref="A16:E16"/>
    <mergeCell ref="A17:E17"/>
    <mergeCell ref="A10:E10"/>
    <mergeCell ref="A13:E13"/>
    <mergeCell ref="A4:E4"/>
    <mergeCell ref="A5:E5"/>
    <mergeCell ref="A6:E6"/>
    <mergeCell ref="A7:E7"/>
    <mergeCell ref="A8:E8"/>
    <mergeCell ref="H29:K29"/>
    <mergeCell ref="A32:E32"/>
    <mergeCell ref="A33:E33"/>
    <mergeCell ref="A25:F25"/>
    <mergeCell ref="A27:E27"/>
    <mergeCell ref="A28:E28"/>
    <mergeCell ref="A29:E29"/>
    <mergeCell ref="A30:E30"/>
    <mergeCell ref="A31:E31"/>
    <mergeCell ref="A26:E26"/>
    <mergeCell ref="K43:Q43"/>
    <mergeCell ref="K44:Q44"/>
    <mergeCell ref="K35:Q35"/>
    <mergeCell ref="H34:Q34"/>
    <mergeCell ref="K38:Q38"/>
    <mergeCell ref="K39:Q39"/>
    <mergeCell ref="K40:Q40"/>
    <mergeCell ref="K41:Q41"/>
    <mergeCell ref="K42:Q42"/>
    <mergeCell ref="L30:U30"/>
    <mergeCell ref="L31:U31"/>
    <mergeCell ref="H24:U24"/>
    <mergeCell ref="K36:Q36"/>
    <mergeCell ref="K37:Q37"/>
    <mergeCell ref="L25:U25"/>
    <mergeCell ref="L26:U26"/>
    <mergeCell ref="L27:U27"/>
    <mergeCell ref="L28:U28"/>
    <mergeCell ref="L29:U29"/>
    <mergeCell ref="H30:K30"/>
    <mergeCell ref="H31:K31"/>
    <mergeCell ref="H25:K25"/>
    <mergeCell ref="H26:K26"/>
    <mergeCell ref="H27:K27"/>
    <mergeCell ref="H28:K28"/>
  </mergeCells>
  <dataValidations disablePrompts="1" count="1">
    <dataValidation type="list" allowBlank="1" showInputMessage="1" showErrorMessage="1" sqref="I36:J44">
      <formula1>$AA$3:$AA$4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9" activePane="bottomRight" state="frozen"/>
      <selection activeCell="C2" sqref="C2:G2"/>
      <selection pane="topRight" activeCell="C2" sqref="C2:G2"/>
      <selection pane="bottomLeft" activeCell="C2" sqref="C2:G2"/>
      <selection pane="bottomRight" activeCell="D8" sqref="D8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7978249.9999999991</v>
      </c>
      <c r="C2" s="106" t="s">
        <v>80</v>
      </c>
      <c r="D2" s="1">
        <f>+D5+D8+D11+D14+D17+D20+D23+D29+D26+D32+D35+D38+D41+D44+D47</f>
        <v>7978249.9999999991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16000000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C5/D3</f>
        <v>3.0312499999999996E-2</v>
      </c>
      <c r="D4" s="60">
        <v>0.05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484999.99999999994</v>
      </c>
      <c r="D5" s="1">
        <f>(D4*D3)*(MIN(MAX(Iteraciones!$P$6-20*(COLUMN()-COLUMN($D5)),0),20)/20)</f>
        <v>484999.99999999994</v>
      </c>
      <c r="E5" s="1">
        <f>(E4*E3)*(MIN(MAX(Iteraciones!$P$6-20*(COLUMN()-COLUMN($D5)),0),20)/20)</f>
        <v>0</v>
      </c>
      <c r="F5" s="1">
        <f>(F4*F3)*(MIN(MAX(Iteraciones!$P$6-22*(COLUMN()-COLUMN($D5)),0),22)/22)</f>
        <v>0</v>
      </c>
      <c r="G5" s="1">
        <f>(G4*G3)*(MIN(MAX(Iteraciones!$P$6-22*(COLUMN()-COLUMN($D5)),0),22)/22)</f>
        <v>0</v>
      </c>
      <c r="H5" s="1">
        <f>(H4*H3)*(MIN(MAX(Iteraciones!$P$6-22*(COLUMN()-COLUMN($D5)),0),22)/22)</f>
        <v>0</v>
      </c>
      <c r="I5" s="1">
        <f>(I4*I3)*(MIN(MAX(Iteraciones!$P$6-22*(COLUMN()-COLUMN($D5)),0),22)/22)</f>
        <v>0</v>
      </c>
      <c r="J5" s="1">
        <f>(J4*J3)*(MIN(MAX(Iteraciones!$P$6-22*(COLUMN()-COLUMN($D5)),0),22)/22)</f>
        <v>0</v>
      </c>
      <c r="K5" s="1">
        <f>(K4*K3)*(MIN(MAX(Iteraciones!$P$6-22*(COLUMN()-COLUMN($D5)),0),22)/22)</f>
        <v>0</v>
      </c>
      <c r="L5" s="1">
        <f>(L4*L3)*(MIN(MAX(Iteraciones!$P$6-22*(COLUMN()-COLUMN($D5)),0),22)/22)</f>
        <v>0</v>
      </c>
      <c r="M5" s="1">
        <f>(M4*M3)*(MIN(MAX(Iteraciones!$P$6-22*(COLUMN()-COLUMN($D5)),0),22)/22)</f>
        <v>0</v>
      </c>
      <c r="N5" s="1">
        <f>(N4*N3)*(MIN(MAX(Iteraciones!$P$6-22*(COLUMN()-COLUMN($D5)),0),22)/22)</f>
        <v>0</v>
      </c>
      <c r="O5" s="1">
        <f>(O4*O3)*(MIN(MAX(Iteraciones!$P$6-22*(COLUMN()-COLUMN($D5)),0),22)/22)</f>
        <v>0</v>
      </c>
      <c r="P5" s="1">
        <f>(P4*P3)*(MIN(MAX(Iteraciones!$P$6-22*(COLUMN()-COLUMN($D5)),0),22)/22)</f>
        <v>0</v>
      </c>
      <c r="Q5" s="1">
        <f t="shared" ref="Q5:S5" si="1">Q4*Q3</f>
        <v>0</v>
      </c>
      <c r="R5" s="1">
        <f t="shared" si="1"/>
        <v>0</v>
      </c>
      <c r="S5" s="1">
        <f t="shared" si="1"/>
        <v>0</v>
      </c>
      <c r="T5" s="1">
        <f t="shared" ref="T5:U5" si="2">T4*T3</f>
        <v>0</v>
      </c>
      <c r="U5" s="1">
        <f t="shared" si="2"/>
        <v>0</v>
      </c>
    </row>
    <row r="6" spans="1:21" x14ac:dyDescent="0.2">
      <c r="A6" s="58" t="s">
        <v>173</v>
      </c>
      <c r="B6" s="10" t="s">
        <v>81</v>
      </c>
      <c r="C6" s="40"/>
      <c r="D6" s="59">
        <v>14500000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C8/D6</f>
        <v>0.48499999999999993</v>
      </c>
      <c r="D7" s="60">
        <v>0.8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7032499.9999999991</v>
      </c>
      <c r="D8" s="1">
        <f>(D7*D6)*(MIN(MAX(Iteraciones!$P$6-20*(COLUMN()-COLUMN($D8)),0),20)/20)</f>
        <v>7032499.9999999991</v>
      </c>
      <c r="E8" s="1">
        <f>(E7*E6)*(MIN(MAX(Iteraciones!$P$6-20*(COLUMN()-COLUMN($D8)),0),20)/20)</f>
        <v>0</v>
      </c>
      <c r="F8" s="1">
        <f>(F7*F6)*(MIN(MAX(Iteraciones!$P$6-22*(COLUMN()-COLUMN($D8)),0),22)/22)</f>
        <v>0</v>
      </c>
      <c r="G8" s="1">
        <f>(G7*G6)*(MIN(MAX(Iteraciones!$P$6-22*(COLUMN()-COLUMN($D8)),0),22)/22)</f>
        <v>0</v>
      </c>
      <c r="H8" s="1">
        <f>(H7*H6)*(MIN(MAX(Iteraciones!$P$6-22*(COLUMN()-COLUMN($D8)),0),22)/22)</f>
        <v>0</v>
      </c>
      <c r="I8" s="1">
        <f>(I7*I6)*(MIN(MAX(Iteraciones!$P$6-22*(COLUMN()-COLUMN($D8)),0),22)/22)</f>
        <v>0</v>
      </c>
      <c r="J8" s="1">
        <f>(J7*J6)*(MIN(MAX(Iteraciones!$P$6-22*(COLUMN()-COLUMN($D8)),0),22)/22)</f>
        <v>0</v>
      </c>
      <c r="K8" s="1">
        <f>(K7*K6)*(MIN(MAX(Iteraciones!$P$6-22*(COLUMN()-COLUMN($D8)),0),22)/22)</f>
        <v>0</v>
      </c>
      <c r="L8" s="1">
        <f>(L7*L6)*(MIN(MAX(Iteraciones!$P$6-22*(COLUMN()-COLUMN($D8)),0),22)/22)</f>
        <v>0</v>
      </c>
      <c r="M8" s="1">
        <f>(M7*M6)*(MIN(MAX(Iteraciones!$P$6-22*(COLUMN()-COLUMN($D8)),0),22)/22)</f>
        <v>0</v>
      </c>
      <c r="N8" s="1">
        <f>(N7*N6)*(MIN(MAX(Iteraciones!$P$6-22*(COLUMN()-COLUMN($D8)),0),22)/22)</f>
        <v>0</v>
      </c>
      <c r="O8" s="1">
        <f t="shared" ref="O8:R8" si="3">O7*O6</f>
        <v>0</v>
      </c>
      <c r="P8" s="1">
        <f t="shared" si="3"/>
        <v>0</v>
      </c>
      <c r="Q8" s="1">
        <f t="shared" si="3"/>
        <v>0</v>
      </c>
      <c r="R8" s="1">
        <f t="shared" si="3"/>
        <v>0</v>
      </c>
      <c r="S8" s="1">
        <f t="shared" ref="S8:U8" si="4">S7*S6</f>
        <v>0</v>
      </c>
      <c r="T8" s="1">
        <f t="shared" si="4"/>
        <v>0</v>
      </c>
      <c r="U8" s="1">
        <f t="shared" si="4"/>
        <v>0</v>
      </c>
    </row>
    <row r="9" spans="1:21" x14ac:dyDescent="0.2">
      <c r="A9" s="58" t="s">
        <v>174</v>
      </c>
      <c r="B9" s="10" t="s">
        <v>81</v>
      </c>
      <c r="C9" s="40"/>
      <c r="D9" s="59">
        <v>5000000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C11/D9</f>
        <v>6.0624999999999998E-2</v>
      </c>
      <c r="D10" s="60">
        <v>0.1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303125</v>
      </c>
      <c r="D11" s="1">
        <f>(D10*D9)*(MIN(MAX(Iteraciones!$P$6-20*(COLUMN()-COLUMN($D11)),0),20)/20)</f>
        <v>303125</v>
      </c>
      <c r="E11" s="1">
        <f>(E10*E9)*(MIN(MAX(Iteraciones!$P$6-20*(COLUMN()-COLUMN($D11)),0),20)/20)</f>
        <v>0</v>
      </c>
      <c r="F11" s="1">
        <f>(F10*F9)*(MIN(MAX(Iteraciones!$P$6-22*(COLUMN()-COLUMN($D11)),0),22)/22)</f>
        <v>0</v>
      </c>
      <c r="G11" s="1">
        <f>(G10*G9)*(MIN(MAX(Iteraciones!$P$6-22*(COLUMN()-COLUMN($D11)),0),22)/22)</f>
        <v>0</v>
      </c>
      <c r="H11" s="1">
        <f>(H10*H9)*(MIN(MAX(Iteraciones!$P$6-22*(COLUMN()-COLUMN($D11)),0),22)/22)</f>
        <v>0</v>
      </c>
      <c r="I11" s="1">
        <f>(I10*I9)*(MIN(MAX(Iteraciones!$P$6-22*(COLUMN()-COLUMN($D11)),0),22)/22)</f>
        <v>0</v>
      </c>
      <c r="J11" s="1">
        <f>(J10*J9)*(MIN(MAX(Iteraciones!$P$6-22*(COLUMN()-COLUMN($D11)),0),22)/22)</f>
        <v>0</v>
      </c>
      <c r="K11" s="1">
        <f>(K10*K9)*(MIN(MAX(Iteraciones!$P$6-22*(COLUMN()-COLUMN($D11)),0),22)/22)</f>
        <v>0</v>
      </c>
      <c r="L11" s="1">
        <f>(L10*L9)*(MIN(MAX(Iteraciones!$P$6-22*(COLUMN()-COLUMN($D11)),0),22)/22)</f>
        <v>0</v>
      </c>
      <c r="M11" s="1">
        <f>(M10*M9)*(MIN(MAX(Iteraciones!$P$6-22*(COLUMN()-COLUMN($D11)),0),22)/22)</f>
        <v>0</v>
      </c>
      <c r="N11" s="1">
        <f>(N10*N9)*(MIN(MAX(Iteraciones!$P$6-22*(COLUMN()-COLUMN($D11)),0),22)/22)</f>
        <v>0</v>
      </c>
      <c r="O11" s="1">
        <f t="shared" ref="O11:R11" si="5">O10*O9</f>
        <v>0</v>
      </c>
      <c r="P11" s="1">
        <f t="shared" si="5"/>
        <v>0</v>
      </c>
      <c r="Q11" s="1">
        <f t="shared" si="5"/>
        <v>0</v>
      </c>
      <c r="R11" s="1">
        <f t="shared" si="5"/>
        <v>0</v>
      </c>
      <c r="S11" s="1">
        <f t="shared" ref="S11:U11" si="6">S10*S9</f>
        <v>0</v>
      </c>
      <c r="T11" s="1">
        <f t="shared" si="6"/>
        <v>0</v>
      </c>
      <c r="U11" s="1">
        <f t="shared" si="6"/>
        <v>0</v>
      </c>
    </row>
    <row r="12" spans="1:21" x14ac:dyDescent="0.2">
      <c r="A12" s="58" t="s">
        <v>175</v>
      </c>
      <c r="B12" s="10" t="s">
        <v>81</v>
      </c>
      <c r="C12" s="40"/>
      <c r="D12" s="59">
        <v>6500000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C14/D12</f>
        <v>2.4250000000000001E-2</v>
      </c>
      <c r="D13" s="117">
        <v>0.04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157625</v>
      </c>
      <c r="D14" s="1">
        <f>(D13*D12)*(MIN(MAX(Iteraciones!$P$6-20*(COLUMN()-COLUMN($D14)),0),20)/20)</f>
        <v>157625</v>
      </c>
      <c r="E14" s="1">
        <f>(E13*E12)*(MIN(MAX(Iteraciones!$P$6-20*(COLUMN()-COLUMN($D14)),0),20)/20)</f>
        <v>0</v>
      </c>
      <c r="F14" s="1">
        <f>(F13*F12)*(MIN(MAX(Iteraciones!$P$6-22*(COLUMN()-COLUMN($D14)),0),22)/22)</f>
        <v>0</v>
      </c>
      <c r="G14" s="1">
        <f>(G13*G12)*(MIN(MAX(Iteraciones!$P$6-22*(COLUMN()-COLUMN($D14)),0),22)/22)</f>
        <v>0</v>
      </c>
      <c r="H14" s="1">
        <f>(H13*H12)*(MIN(MAX(Iteraciones!$P$6-22*(COLUMN()-COLUMN($D14)),0),22)/22)</f>
        <v>0</v>
      </c>
      <c r="I14" s="1">
        <f>(I13*I12)*(MIN(MAX(Iteraciones!$P$6-22*(COLUMN()-COLUMN($D14)),0),22)/22)</f>
        <v>0</v>
      </c>
      <c r="J14" s="1">
        <f>(J13*J12)*(MIN(MAX(Iteraciones!$P$6-22*(COLUMN()-COLUMN($D14)),0),22)/22)</f>
        <v>0</v>
      </c>
      <c r="K14" s="1">
        <f>(K13*K12)*(MIN(MAX(Iteraciones!$P$6-22*(COLUMN()-COLUMN($D14)),0),22)/22)</f>
        <v>0</v>
      </c>
      <c r="L14" s="1">
        <f>(L13*L12)*(MIN(MAX(Iteraciones!$P$6-22*(COLUMN()-COLUMN($D14)),0),22)/22)</f>
        <v>0</v>
      </c>
      <c r="M14" s="1">
        <f>(M13*M12)*(MIN(MAX(Iteraciones!$P$6-22*(COLUMN()-COLUMN($D14)),0),22)/22)</f>
        <v>0</v>
      </c>
      <c r="N14" s="1">
        <f>(N13*N12)*(MIN(MAX(Iteraciones!$P$6-22*(COLUMN()-COLUMN($D14)),0),22)/22)</f>
        <v>0</v>
      </c>
      <c r="O14" s="1">
        <f t="shared" ref="O14:R14" si="7">O13*O12</f>
        <v>0</v>
      </c>
      <c r="P14" s="1">
        <f t="shared" si="7"/>
        <v>0</v>
      </c>
      <c r="Q14" s="1">
        <f t="shared" si="7"/>
        <v>0</v>
      </c>
      <c r="R14" s="1">
        <f t="shared" si="7"/>
        <v>0</v>
      </c>
      <c r="S14" s="1">
        <f t="shared" ref="S14:U14" si="8">S13*S12</f>
        <v>0</v>
      </c>
      <c r="T14" s="1">
        <f t="shared" si="8"/>
        <v>0</v>
      </c>
      <c r="U14" s="1">
        <f t="shared" si="8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9">E16*E15</f>
        <v>0</v>
      </c>
      <c r="F17" s="1">
        <f t="shared" si="9"/>
        <v>0</v>
      </c>
      <c r="G17" s="1">
        <f t="shared" si="9"/>
        <v>0</v>
      </c>
      <c r="H17" s="1">
        <f t="shared" si="9"/>
        <v>0</v>
      </c>
      <c r="I17" s="1">
        <f t="shared" si="9"/>
        <v>0</v>
      </c>
      <c r="J17" s="1">
        <f t="shared" si="9"/>
        <v>0</v>
      </c>
      <c r="K17" s="1">
        <f t="shared" si="9"/>
        <v>0</v>
      </c>
      <c r="L17" s="1">
        <f t="shared" si="9"/>
        <v>0</v>
      </c>
      <c r="M17" s="1">
        <f t="shared" si="9"/>
        <v>0</v>
      </c>
      <c r="N17" s="1">
        <f t="shared" ref="N17:S17" si="10">N16*N15</f>
        <v>0</v>
      </c>
      <c r="O17" s="1">
        <f t="shared" si="10"/>
        <v>0</v>
      </c>
      <c r="P17" s="1">
        <f t="shared" si="10"/>
        <v>0</v>
      </c>
      <c r="Q17" s="1">
        <f t="shared" si="10"/>
        <v>0</v>
      </c>
      <c r="R17" s="1">
        <f t="shared" si="10"/>
        <v>0</v>
      </c>
      <c r="S17" s="1">
        <f t="shared" si="10"/>
        <v>0</v>
      </c>
      <c r="T17" s="1">
        <f t="shared" ref="T17:U17" si="11">T16*T15</f>
        <v>0</v>
      </c>
      <c r="U17" s="1">
        <f t="shared" si="11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2">E19*E18</f>
        <v>0</v>
      </c>
      <c r="F20" s="1">
        <f t="shared" si="12"/>
        <v>0</v>
      </c>
      <c r="G20" s="1">
        <f t="shared" si="12"/>
        <v>0</v>
      </c>
      <c r="H20" s="1">
        <f t="shared" si="12"/>
        <v>0</v>
      </c>
      <c r="I20" s="1">
        <f t="shared" si="12"/>
        <v>0</v>
      </c>
      <c r="J20" s="1">
        <f t="shared" si="12"/>
        <v>0</v>
      </c>
      <c r="K20" s="1">
        <f t="shared" si="12"/>
        <v>0</v>
      </c>
      <c r="L20" s="1">
        <f t="shared" si="12"/>
        <v>0</v>
      </c>
      <c r="M20" s="1">
        <f t="shared" si="12"/>
        <v>0</v>
      </c>
      <c r="N20" s="1">
        <f t="shared" ref="N20:S20" si="13">N19*N18</f>
        <v>0</v>
      </c>
      <c r="O20" s="1">
        <f t="shared" si="13"/>
        <v>0</v>
      </c>
      <c r="P20" s="1">
        <f t="shared" si="13"/>
        <v>0</v>
      </c>
      <c r="Q20" s="1">
        <f t="shared" si="13"/>
        <v>0</v>
      </c>
      <c r="R20" s="1">
        <f t="shared" si="13"/>
        <v>0</v>
      </c>
      <c r="S20" s="1">
        <f t="shared" si="13"/>
        <v>0</v>
      </c>
      <c r="T20" s="1">
        <f t="shared" ref="T20:U20" si="14">T19*T18</f>
        <v>0</v>
      </c>
      <c r="U20" s="1">
        <f t="shared" si="14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5">E22*E21</f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0</v>
      </c>
      <c r="K23" s="1">
        <f t="shared" si="15"/>
        <v>0</v>
      </c>
      <c r="L23" s="1">
        <f t="shared" si="15"/>
        <v>0</v>
      </c>
      <c r="M23" s="1">
        <f t="shared" si="15"/>
        <v>0</v>
      </c>
      <c r="N23" s="1">
        <f t="shared" ref="N23:S23" si="16">N22*N21</f>
        <v>0</v>
      </c>
      <c r="O23" s="1">
        <f t="shared" si="16"/>
        <v>0</v>
      </c>
      <c r="P23" s="1">
        <f t="shared" si="16"/>
        <v>0</v>
      </c>
      <c r="Q23" s="1">
        <f t="shared" si="16"/>
        <v>0</v>
      </c>
      <c r="R23" s="1">
        <f t="shared" si="16"/>
        <v>0</v>
      </c>
      <c r="S23" s="1">
        <f t="shared" si="16"/>
        <v>0</v>
      </c>
      <c r="T23" s="1">
        <f t="shared" ref="T23:U23" si="17">T22*T21</f>
        <v>0</v>
      </c>
      <c r="U23" s="1">
        <f t="shared" si="17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8">E25*E24</f>
        <v>0</v>
      </c>
      <c r="F26" s="1">
        <f t="shared" si="18"/>
        <v>0</v>
      </c>
      <c r="G26" s="1">
        <f t="shared" si="18"/>
        <v>0</v>
      </c>
      <c r="H26" s="1">
        <f t="shared" si="18"/>
        <v>0</v>
      </c>
      <c r="I26" s="1">
        <f t="shared" si="18"/>
        <v>0</v>
      </c>
      <c r="J26" s="1">
        <f t="shared" si="18"/>
        <v>0</v>
      </c>
      <c r="K26" s="1">
        <f t="shared" si="18"/>
        <v>0</v>
      </c>
      <c r="L26" s="1">
        <f t="shared" si="18"/>
        <v>0</v>
      </c>
      <c r="M26" s="1">
        <f t="shared" si="18"/>
        <v>0</v>
      </c>
      <c r="N26" s="1">
        <f t="shared" si="18"/>
        <v>0</v>
      </c>
      <c r="O26" s="1">
        <f t="shared" si="18"/>
        <v>0</v>
      </c>
      <c r="P26" s="1">
        <f t="shared" ref="P26:U26" si="19">P25*P24</f>
        <v>0</v>
      </c>
      <c r="Q26" s="1">
        <f t="shared" si="19"/>
        <v>0</v>
      </c>
      <c r="R26" s="1">
        <f t="shared" si="19"/>
        <v>0</v>
      </c>
      <c r="S26" s="1">
        <f t="shared" si="19"/>
        <v>0</v>
      </c>
      <c r="T26" s="1">
        <f t="shared" si="19"/>
        <v>0</v>
      </c>
      <c r="U26" s="1">
        <f t="shared" si="19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20">E28*E27</f>
        <v>0</v>
      </c>
      <c r="F29" s="1">
        <f t="shared" si="20"/>
        <v>0</v>
      </c>
      <c r="G29" s="1">
        <f t="shared" si="20"/>
        <v>0</v>
      </c>
      <c r="H29" s="1">
        <f t="shared" si="20"/>
        <v>0</v>
      </c>
      <c r="I29" s="1">
        <f t="shared" si="20"/>
        <v>0</v>
      </c>
      <c r="J29" s="1">
        <f t="shared" si="20"/>
        <v>0</v>
      </c>
      <c r="K29" s="1">
        <f t="shared" si="20"/>
        <v>0</v>
      </c>
      <c r="L29" s="1">
        <f t="shared" si="20"/>
        <v>0</v>
      </c>
      <c r="M29" s="1">
        <f t="shared" si="20"/>
        <v>0</v>
      </c>
      <c r="N29" s="1">
        <f t="shared" ref="N29:S29" si="21">N28*N27</f>
        <v>0</v>
      </c>
      <c r="O29" s="1">
        <f t="shared" si="21"/>
        <v>0</v>
      </c>
      <c r="P29" s="1">
        <f t="shared" si="21"/>
        <v>0</v>
      </c>
      <c r="Q29" s="1">
        <f t="shared" si="21"/>
        <v>0</v>
      </c>
      <c r="R29" s="1">
        <f t="shared" si="21"/>
        <v>0</v>
      </c>
      <c r="S29" s="1">
        <f t="shared" si="21"/>
        <v>0</v>
      </c>
      <c r="T29" s="1">
        <f t="shared" ref="T29:U29" si="22">T28*T27</f>
        <v>0</v>
      </c>
      <c r="U29" s="1">
        <f t="shared" si="22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23">E31*E30</f>
        <v>0</v>
      </c>
      <c r="F32" s="1">
        <f t="shared" si="23"/>
        <v>0</v>
      </c>
      <c r="G32" s="1">
        <f t="shared" si="23"/>
        <v>0</v>
      </c>
      <c r="H32" s="1">
        <f t="shared" si="23"/>
        <v>0</v>
      </c>
      <c r="I32" s="1">
        <f t="shared" si="23"/>
        <v>0</v>
      </c>
      <c r="J32" s="1">
        <f t="shared" si="23"/>
        <v>0</v>
      </c>
      <c r="K32" s="1">
        <f t="shared" si="23"/>
        <v>0</v>
      </c>
      <c r="L32" s="1">
        <f t="shared" si="23"/>
        <v>0</v>
      </c>
      <c r="M32" s="1">
        <f t="shared" si="23"/>
        <v>0</v>
      </c>
      <c r="N32" s="1">
        <f t="shared" si="23"/>
        <v>0</v>
      </c>
      <c r="O32" s="1">
        <f t="shared" si="23"/>
        <v>0</v>
      </c>
      <c r="P32" s="1">
        <f t="shared" si="23"/>
        <v>0</v>
      </c>
      <c r="Q32" s="1">
        <f t="shared" si="23"/>
        <v>0</v>
      </c>
      <c r="R32" s="1">
        <f t="shared" si="23"/>
        <v>0</v>
      </c>
      <c r="S32" s="1">
        <f t="shared" si="23"/>
        <v>0</v>
      </c>
      <c r="T32" s="1">
        <f t="shared" si="23"/>
        <v>0</v>
      </c>
      <c r="U32" s="1">
        <f t="shared" si="23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24">E34*E33</f>
        <v>0</v>
      </c>
      <c r="F35" s="1">
        <f t="shared" si="24"/>
        <v>0</v>
      </c>
      <c r="G35" s="1">
        <f t="shared" si="24"/>
        <v>0</v>
      </c>
      <c r="H35" s="1">
        <f t="shared" si="24"/>
        <v>0</v>
      </c>
      <c r="I35" s="1">
        <f t="shared" si="24"/>
        <v>0</v>
      </c>
      <c r="J35" s="1">
        <f t="shared" si="24"/>
        <v>0</v>
      </c>
      <c r="K35" s="1">
        <f t="shared" si="24"/>
        <v>0</v>
      </c>
      <c r="L35" s="1">
        <f t="shared" si="24"/>
        <v>0</v>
      </c>
      <c r="M35" s="1">
        <f t="shared" si="24"/>
        <v>0</v>
      </c>
      <c r="N35" s="1">
        <f t="shared" si="24"/>
        <v>0</v>
      </c>
      <c r="O35" s="1">
        <f t="shared" si="24"/>
        <v>0</v>
      </c>
      <c r="P35" s="1">
        <f t="shared" si="24"/>
        <v>0</v>
      </c>
      <c r="Q35" s="1">
        <f t="shared" si="24"/>
        <v>0</v>
      </c>
      <c r="R35" s="1">
        <f t="shared" si="24"/>
        <v>0</v>
      </c>
      <c r="S35" s="1">
        <f t="shared" si="24"/>
        <v>0</v>
      </c>
      <c r="T35" s="1">
        <f t="shared" si="24"/>
        <v>0</v>
      </c>
      <c r="U35" s="1">
        <f t="shared" si="24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5">E37*E36</f>
        <v>0</v>
      </c>
      <c r="F38" s="1">
        <f t="shared" si="25"/>
        <v>0</v>
      </c>
      <c r="G38" s="1">
        <f t="shared" si="25"/>
        <v>0</v>
      </c>
      <c r="H38" s="1">
        <f t="shared" si="25"/>
        <v>0</v>
      </c>
      <c r="I38" s="1">
        <f t="shared" si="25"/>
        <v>0</v>
      </c>
      <c r="J38" s="1">
        <f t="shared" si="25"/>
        <v>0</v>
      </c>
      <c r="K38" s="1">
        <f t="shared" si="25"/>
        <v>0</v>
      </c>
      <c r="L38" s="1">
        <f t="shared" si="25"/>
        <v>0</v>
      </c>
      <c r="M38" s="1">
        <f t="shared" si="25"/>
        <v>0</v>
      </c>
      <c r="N38" s="1">
        <f t="shared" si="25"/>
        <v>0</v>
      </c>
      <c r="O38" s="1">
        <f t="shared" si="25"/>
        <v>0</v>
      </c>
      <c r="P38" s="1">
        <f t="shared" si="25"/>
        <v>0</v>
      </c>
      <c r="Q38" s="1">
        <f t="shared" si="25"/>
        <v>0</v>
      </c>
      <c r="R38" s="1">
        <f t="shared" si="25"/>
        <v>0</v>
      </c>
      <c r="S38" s="1">
        <f t="shared" si="25"/>
        <v>0</v>
      </c>
      <c r="T38" s="1">
        <f t="shared" si="25"/>
        <v>0</v>
      </c>
      <c r="U38" s="1">
        <f t="shared" si="25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6">E40*E39</f>
        <v>0</v>
      </c>
      <c r="F41" s="1">
        <f t="shared" si="26"/>
        <v>0</v>
      </c>
      <c r="G41" s="1">
        <f t="shared" si="26"/>
        <v>0</v>
      </c>
      <c r="H41" s="1">
        <f t="shared" si="26"/>
        <v>0</v>
      </c>
      <c r="I41" s="1">
        <f t="shared" si="26"/>
        <v>0</v>
      </c>
      <c r="J41" s="1">
        <f t="shared" si="26"/>
        <v>0</v>
      </c>
      <c r="K41" s="1">
        <f t="shared" si="26"/>
        <v>0</v>
      </c>
      <c r="L41" s="1">
        <f t="shared" si="26"/>
        <v>0</v>
      </c>
      <c r="M41" s="1">
        <f t="shared" si="26"/>
        <v>0</v>
      </c>
      <c r="N41" s="1">
        <f t="shared" si="26"/>
        <v>0</v>
      </c>
      <c r="O41" s="1">
        <f t="shared" si="26"/>
        <v>0</v>
      </c>
      <c r="P41" s="1">
        <f t="shared" si="26"/>
        <v>0</v>
      </c>
      <c r="Q41" s="1">
        <f t="shared" si="26"/>
        <v>0</v>
      </c>
      <c r="R41" s="1">
        <f t="shared" si="26"/>
        <v>0</v>
      </c>
      <c r="S41" s="1">
        <f t="shared" si="26"/>
        <v>0</v>
      </c>
      <c r="T41" s="1">
        <f t="shared" si="26"/>
        <v>0</v>
      </c>
      <c r="U41" s="1">
        <f t="shared" si="26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7">E43*E42</f>
        <v>0</v>
      </c>
      <c r="F44" s="1">
        <f t="shared" si="27"/>
        <v>0</v>
      </c>
      <c r="G44" s="1">
        <f t="shared" si="27"/>
        <v>0</v>
      </c>
      <c r="H44" s="1">
        <f t="shared" si="27"/>
        <v>0</v>
      </c>
      <c r="I44" s="1">
        <f t="shared" si="27"/>
        <v>0</v>
      </c>
      <c r="J44" s="1">
        <f t="shared" si="27"/>
        <v>0</v>
      </c>
      <c r="K44" s="1">
        <f t="shared" si="27"/>
        <v>0</v>
      </c>
      <c r="L44" s="1">
        <f t="shared" si="27"/>
        <v>0</v>
      </c>
      <c r="M44" s="1">
        <f t="shared" si="27"/>
        <v>0</v>
      </c>
      <c r="N44" s="1">
        <f t="shared" si="27"/>
        <v>0</v>
      </c>
      <c r="O44" s="1">
        <f t="shared" si="27"/>
        <v>0</v>
      </c>
      <c r="P44" s="1">
        <f t="shared" si="27"/>
        <v>0</v>
      </c>
      <c r="Q44" s="1">
        <f t="shared" si="27"/>
        <v>0</v>
      </c>
      <c r="R44" s="1">
        <f t="shared" si="27"/>
        <v>0</v>
      </c>
      <c r="S44" s="1">
        <f t="shared" si="27"/>
        <v>0</v>
      </c>
      <c r="T44" s="1">
        <f t="shared" si="27"/>
        <v>0</v>
      </c>
      <c r="U44" s="1">
        <f t="shared" si="27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8">E46*E45</f>
        <v>0</v>
      </c>
      <c r="F47" s="1">
        <f t="shared" si="28"/>
        <v>0</v>
      </c>
      <c r="G47" s="1">
        <f t="shared" si="28"/>
        <v>0</v>
      </c>
      <c r="H47" s="1">
        <f t="shared" si="28"/>
        <v>0</v>
      </c>
      <c r="I47" s="1">
        <f t="shared" si="28"/>
        <v>0</v>
      </c>
      <c r="J47" s="1">
        <f t="shared" si="28"/>
        <v>0</v>
      </c>
      <c r="K47" s="1">
        <f t="shared" si="28"/>
        <v>0</v>
      </c>
      <c r="L47" s="1">
        <f t="shared" si="28"/>
        <v>0</v>
      </c>
      <c r="M47" s="1">
        <f t="shared" si="28"/>
        <v>0</v>
      </c>
      <c r="N47" s="1">
        <f t="shared" si="28"/>
        <v>0</v>
      </c>
      <c r="O47" s="1">
        <f t="shared" si="28"/>
        <v>0</v>
      </c>
      <c r="P47" s="1">
        <f t="shared" si="28"/>
        <v>0</v>
      </c>
      <c r="Q47" s="1">
        <f t="shared" si="28"/>
        <v>0</v>
      </c>
      <c r="R47" s="1">
        <f t="shared" si="28"/>
        <v>0</v>
      </c>
      <c r="S47" s="1">
        <f t="shared" si="28"/>
        <v>0</v>
      </c>
      <c r="T47" s="1">
        <f t="shared" si="28"/>
        <v>0</v>
      </c>
      <c r="U47" s="1">
        <f t="shared" si="28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29">SUM(E51:E58)</f>
        <v>0</v>
      </c>
      <c r="F50" s="1">
        <f t="shared" si="29"/>
        <v>0</v>
      </c>
      <c r="G50" s="1">
        <f t="shared" si="29"/>
        <v>0</v>
      </c>
      <c r="H50" s="1">
        <f t="shared" si="29"/>
        <v>0</v>
      </c>
      <c r="I50" s="1">
        <f t="shared" si="29"/>
        <v>0</v>
      </c>
      <c r="J50" s="1">
        <f t="shared" si="29"/>
        <v>0</v>
      </c>
      <c r="K50" s="1">
        <f t="shared" si="29"/>
        <v>0</v>
      </c>
      <c r="L50" s="1">
        <f t="shared" si="29"/>
        <v>0</v>
      </c>
      <c r="M50" s="1">
        <f t="shared" si="29"/>
        <v>0</v>
      </c>
      <c r="N50" s="1">
        <f t="shared" si="29"/>
        <v>0</v>
      </c>
      <c r="O50" s="1">
        <f t="shared" si="29"/>
        <v>0</v>
      </c>
      <c r="P50" s="1">
        <f t="shared" si="29"/>
        <v>0</v>
      </c>
      <c r="Q50" s="1">
        <f t="shared" si="29"/>
        <v>0</v>
      </c>
      <c r="R50" s="1">
        <f t="shared" si="29"/>
        <v>0</v>
      </c>
      <c r="S50" s="1">
        <f t="shared" si="29"/>
        <v>0</v>
      </c>
      <c r="T50" s="1">
        <f t="shared" si="29"/>
        <v>0</v>
      </c>
      <c r="U50" s="1">
        <f t="shared" si="29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30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30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30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30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30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30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30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8000000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880000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8900000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8900000</v>
      </c>
      <c r="E69" s="19">
        <f t="shared" ref="E69:M69" si="31">SUM(E70:E77)*$B$66</f>
        <v>0</v>
      </c>
      <c r="F69" s="19">
        <f t="shared" si="31"/>
        <v>0</v>
      </c>
      <c r="G69" s="19">
        <f t="shared" si="31"/>
        <v>0</v>
      </c>
      <c r="H69" s="19">
        <f t="shared" si="31"/>
        <v>0</v>
      </c>
      <c r="I69" s="19">
        <f t="shared" si="31"/>
        <v>0</v>
      </c>
      <c r="J69" s="19">
        <f t="shared" si="31"/>
        <v>0</v>
      </c>
      <c r="K69" s="19">
        <f t="shared" si="31"/>
        <v>0</v>
      </c>
      <c r="L69" s="19">
        <f t="shared" si="31"/>
        <v>0</v>
      </c>
      <c r="M69" s="19">
        <f t="shared" si="31"/>
        <v>0</v>
      </c>
      <c r="N69" s="19">
        <f t="shared" ref="N69:O69" si="32">SUM(N70:N77)*$B$66</f>
        <v>0</v>
      </c>
      <c r="O69" s="19">
        <f t="shared" si="32"/>
        <v>0</v>
      </c>
      <c r="P69" s="19">
        <f t="shared" ref="P69:S69" si="33">SUM(P70:P77)*$B$66</f>
        <v>0</v>
      </c>
      <c r="Q69" s="19">
        <f t="shared" si="33"/>
        <v>0</v>
      </c>
      <c r="R69" s="19">
        <f t="shared" si="33"/>
        <v>0</v>
      </c>
      <c r="S69" s="19">
        <f t="shared" si="33"/>
        <v>0</v>
      </c>
      <c r="T69" s="19">
        <f t="shared" ref="T69:U69" si="34">SUM(T70:T77)*$B$66</f>
        <v>0</v>
      </c>
      <c r="U69" s="19">
        <f t="shared" si="34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3560000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35">SUM(D71:U71)</f>
        <v>0.6</v>
      </c>
      <c r="C71" s="81">
        <f t="shared" ref="C71:C77" si="36">SUM(D71:U71)*$B$66</f>
        <v>5340000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35"/>
        <v>0</v>
      </c>
      <c r="C72" s="81">
        <f t="shared" si="36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35"/>
        <v>0</v>
      </c>
      <c r="C73" s="81">
        <f t="shared" si="36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35"/>
        <v>0</v>
      </c>
      <c r="C74" s="81">
        <f t="shared" si="36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35"/>
        <v>0</v>
      </c>
      <c r="C75" s="81">
        <f t="shared" si="36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35"/>
        <v>0</v>
      </c>
      <c r="C76" s="81">
        <f t="shared" si="36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35"/>
        <v>0</v>
      </c>
      <c r="C77" s="81">
        <f t="shared" si="36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37">SUM(B70:B77)</f>
        <v>1</v>
      </c>
      <c r="C78" s="74">
        <f t="shared" si="37"/>
        <v>8900000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2" sqref="D2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0.05</v>
      </c>
      <c r="D4" s="60">
        <f>'A cobrar'!D4</f>
        <v>0.05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0.8</v>
      </c>
      <c r="D7" s="60">
        <f>'A cobrar'!D7</f>
        <v>0.8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0.1</v>
      </c>
      <c r="D10" s="60">
        <f>'A cobrar'!D10</f>
        <v>0.1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0.04</v>
      </c>
      <c r="D13" s="60">
        <f>'A cobrar'!D13</f>
        <v>0.04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157174.00000000003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35600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192774.00000000003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8900000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8900000</v>
      </c>
      <c r="E3" s="92">
        <f t="shared" ref="E3:O3" si="0">D3+E2</f>
        <v>8900000</v>
      </c>
      <c r="F3" s="92">
        <f t="shared" si="0"/>
        <v>8900000</v>
      </c>
      <c r="G3" s="92">
        <f t="shared" si="0"/>
        <v>8900000</v>
      </c>
      <c r="H3" s="92">
        <f t="shared" si="0"/>
        <v>8900000</v>
      </c>
      <c r="I3" s="92">
        <f t="shared" si="0"/>
        <v>8900000</v>
      </c>
      <c r="J3" s="92">
        <f t="shared" si="0"/>
        <v>8900000</v>
      </c>
      <c r="K3" s="92">
        <f t="shared" si="0"/>
        <v>8900000</v>
      </c>
      <c r="L3" s="92">
        <f t="shared" si="0"/>
        <v>8900000</v>
      </c>
      <c r="M3" s="92">
        <f t="shared" si="0"/>
        <v>8900000</v>
      </c>
      <c r="N3" s="92">
        <f t="shared" si="0"/>
        <v>8900000</v>
      </c>
      <c r="O3" s="92">
        <f t="shared" si="0"/>
        <v>8900000</v>
      </c>
      <c r="P3" s="92">
        <f t="shared" ref="P3" si="1">O3+P2</f>
        <v>8900000</v>
      </c>
      <c r="Q3" s="92">
        <f t="shared" ref="Q3" si="2">P3+Q2</f>
        <v>8900000</v>
      </c>
      <c r="R3" s="92">
        <f t="shared" ref="R3" si="3">Q3+R2</f>
        <v>8900000</v>
      </c>
      <c r="S3" s="92">
        <f t="shared" ref="S3" si="4">R3+S2</f>
        <v>8900000</v>
      </c>
      <c r="T3" s="92">
        <f t="shared" ref="T3" si="5">S3+T2</f>
        <v>8900000</v>
      </c>
      <c r="U3" s="92">
        <f t="shared" ref="U3" si="6">T3+U2</f>
        <v>8900000</v>
      </c>
    </row>
    <row r="4" spans="1:21" x14ac:dyDescent="0.2">
      <c r="A4" s="18" t="s">
        <v>153</v>
      </c>
      <c r="B4" s="91">
        <f>'A cobrar'!B66:C66</f>
        <v>8900000</v>
      </c>
    </row>
    <row r="5" spans="1:21" x14ac:dyDescent="0.2">
      <c r="A5" s="18" t="s">
        <v>154</v>
      </c>
      <c r="B5" s="91">
        <f>'Costos planeados'!B68</f>
        <v>192774.00000000003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8707226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8900000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8900000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-8900000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-8900000</v>
      </c>
      <c r="E16" s="94">
        <f>E3-'Caja planeada'!E3</f>
        <v>-8900000</v>
      </c>
      <c r="F16" s="94">
        <f>F3-'Caja planeada'!F3</f>
        <v>-8900000</v>
      </c>
      <c r="G16" s="94">
        <f>G3-'Caja planeada'!G3</f>
        <v>-8900000</v>
      </c>
      <c r="H16" s="94">
        <f>H3-'Caja planeada'!H3</f>
        <v>-8900000</v>
      </c>
      <c r="I16" s="94">
        <f>I3-'Caja planeada'!I3</f>
        <v>-8900000</v>
      </c>
      <c r="J16" s="94">
        <f>J3-'Caja planeada'!J3</f>
        <v>-8900000</v>
      </c>
      <c r="K16" s="94">
        <f>K3-'Caja planeada'!K3</f>
        <v>-8900000</v>
      </c>
      <c r="L16" s="94">
        <f>L3-'Caja planeada'!L3</f>
        <v>-8900000</v>
      </c>
      <c r="M16" s="94">
        <f>M3-'Caja planeada'!M3</f>
        <v>-8900000</v>
      </c>
      <c r="N16" s="94">
        <f>N3-'Caja planeada'!N3</f>
        <v>-8900000</v>
      </c>
      <c r="O16" s="94">
        <f>O3-'Caja planeada'!O3</f>
        <v>-8900000</v>
      </c>
      <c r="P16" s="94">
        <f>P3-'Caja planeada'!P3</f>
        <v>-8900000</v>
      </c>
      <c r="Q16" s="94">
        <f>Q3-'Caja planeada'!Q3</f>
        <v>-8900000</v>
      </c>
      <c r="R16" s="94">
        <f>R3-'Caja planeada'!R3</f>
        <v>-8900000</v>
      </c>
      <c r="S16" s="94">
        <f>S3-'Caja planeada'!S3</f>
        <v>-8900000</v>
      </c>
      <c r="T16" s="94">
        <f>T3-'Caja planeada'!T3</f>
        <v>-8900000</v>
      </c>
      <c r="U16" s="94">
        <f>U3-'Caja planeada'!U3</f>
        <v>-8900000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25ABF-8997-49A0-9C96-F6ADAC240FC0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sharepoint/v3"/>
    <ds:schemaRef ds:uri="429a2966-0d94-4baf-ac31-c583b7569082"/>
    <ds:schemaRef ds:uri="http://schemas.microsoft.com/office/infopath/2007/PartnerControls"/>
    <ds:schemaRef ds:uri="ceb8ebac-74c3-43a7-a348-c9253525119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2026-10-23T21:27:06Z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