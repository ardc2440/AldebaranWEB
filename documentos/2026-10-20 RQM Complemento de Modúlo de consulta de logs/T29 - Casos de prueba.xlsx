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ersonal\Promos\Repos\Aldebaran.Web\documentos\2026-10-20 RQM Complemento de Modúlo de consulta de logs\"/>
    </mc:Choice>
  </mc:AlternateContent>
  <bookViews>
    <workbookView xWindow="0" yWindow="450" windowWidth="16380" windowHeight="8190" tabRatio="500" activeTab="1"/>
  </bookViews>
  <sheets>
    <sheet name="Instrucciones" sheetId="1" r:id="rId1"/>
    <sheet name="Casos de prueba" sheetId="2" r:id="rId2"/>
    <sheet name="Regresión acumulada" sheetId="3" r:id="rId3"/>
    <sheet name="Datos de prueba" sheetId="4" r:id="rId4"/>
    <sheet name="Resumen" sheetId="5" r:id="rId5"/>
  </sheets>
  <definedNames>
    <definedName name="_xlnm._FilterDatabase" localSheetId="1" hidden="1">'Casos de prueba'!$A$1:$N$75</definedName>
  </definedNames>
  <calcPr calcId="152511" iterateDelta="1E-4"/>
</workbook>
</file>

<file path=xl/calcChain.xml><?xml version="1.0" encoding="utf-8"?>
<calcChain xmlns="http://schemas.openxmlformats.org/spreadsheetml/2006/main">
  <c r="B9" i="5" l="1"/>
  <c r="B8" i="5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F2" i="5"/>
  <c r="E2" i="5"/>
  <c r="D2" i="5"/>
  <c r="C2" i="5"/>
  <c r="B2" i="5"/>
  <c r="E6" i="5" l="1"/>
  <c r="H4" i="5"/>
  <c r="H5" i="5"/>
  <c r="B6" i="5"/>
  <c r="G2" i="5"/>
  <c r="G3" i="5"/>
  <c r="F6" i="5"/>
  <c r="D6" i="5"/>
  <c r="H3" i="5"/>
  <c r="C6" i="5"/>
  <c r="H2" i="5"/>
  <c r="G5" i="5"/>
  <c r="G4" i="5"/>
  <c r="H6" i="5" l="1"/>
  <c r="G6" i="5"/>
</calcChain>
</file>

<file path=xl/sharedStrings.xml><?xml version="1.0" encoding="utf-8"?>
<sst xmlns="http://schemas.openxmlformats.org/spreadsheetml/2006/main" count="1161" uniqueCount="607">
  <si>
    <t>RQM Complemento Consulta de Logs, Marca $ BOMBA, Pedido especial y Generador de consecutivos – T29 Casos de prueba</t>
  </si>
  <si>
    <t>Una sola entrega con los 4 requerimientos · Rama: RQM-ComplementoLogs+SaleOff · BD de pruebas: GML0999\SQLEXPRESS01 · Sitio: https://localhost:6001</t>
  </si>
  <si>
    <t>Cómo usar:</t>
  </si>
  <si>
    <t>1. Ejecutar los scripts de Despliegue en orden (01–20) en la BD de pruebas antes de iniciar.</t>
  </si>
  <si>
    <t>2. Hoja 'Casos de prueba': llenar solo las columnas en amarillo: Resultado (lista: OK / Corrección / Pendiente / No aplica), Observaciones, Probado por y Fecha.</t>
  </si>
  <si>
    <t>3. Hoja 'Regresión acumulada': repetir al final de la ejecución completa.</t>
  </si>
  <si>
    <t>4. Hoja 'Datos de prueba': datos creados durante el RQM que se restauran o documentan en T30.</t>
  </si>
  <si>
    <t>5. Hoja 'Resumen': se calcula sola.</t>
  </si>
  <si>
    <t>Columna Requerimiento: Logs, Marca $ BOMBA, Pedido especial o Generador de consecutivos. Los ID (E1-…, E4-…) se conservan como identificadores de caso.</t>
  </si>
  <si>
    <t>Ejecución integral: 25/10/2026 en la nube (BD de pruebas restaurada): 72 OK; pendientes E1-16 y E3-12 (correo) para validar en local.</t>
  </si>
  <si>
    <t>ID</t>
  </si>
  <si>
    <t>Requerimiento</t>
  </si>
  <si>
    <t>Tarea</t>
  </si>
  <si>
    <t>Pantalla / objeto</t>
  </si>
  <si>
    <t>Rol</t>
  </si>
  <si>
    <t>Precondición</t>
  </si>
  <si>
    <t>Pasos</t>
  </si>
  <si>
    <t>Resultado esperado</t>
  </si>
  <si>
    <t>Verificación en BD</t>
  </si>
  <si>
    <t>Resultado</t>
  </si>
  <si>
    <t>Observaciones</t>
  </si>
  <si>
    <t>Probado por</t>
  </si>
  <si>
    <t>Fecha</t>
  </si>
  <si>
    <t>E1-01</t>
  </si>
  <si>
    <t>Logs</t>
  </si>
  <si>
    <t>T1</t>
  </si>
  <si>
    <t>BD - log.Logs / log.track</t>
  </si>
  <si>
    <t>DBA</t>
  </si>
  <si>
    <t>Script 01 ejecutado</t>
  </si>
  <si>
    <t>Ejecutar 01 - Indices Log y Track.sql dos veces.</t>
  </si>
  <si>
    <t>Sin errores; segunda ejecución no recrea nada.</t>
  </si>
  <si>
    <t>SELECT name FROM sys.indexes WHERE name IN ('IX_Logs_TimeStamp','IX_Logs_Template_TimeStamp','IX_track_Entity_Date','IX_track_Entity_Key'); -- 4 filas</t>
  </si>
  <si>
    <t>OK</t>
  </si>
  <si>
    <t>BD de pruebas restaurada en la nube. Script 01 ejecutado 2 veces sin errores; 4 índices presentes. P01 (rendimiento) ejecutado sin errores.</t>
  </si>
  <si>
    <t>Claude (nube)</t>
  </si>
  <si>
    <t>25/10/2026</t>
  </si>
  <si>
    <t>E1-02</t>
  </si>
  <si>
    <t>Aplicación (escritura de logs)</t>
  </si>
  <si>
    <t>admin</t>
  </si>
  <si>
    <t>Índices creados</t>
  </si>
  <si>
    <t>Navegar la app y generar un error controlado; guardar un pedido.</t>
  </si>
  <si>
    <t>Serilog y Track siguen escribiendo sin errores.</t>
  </si>
  <si>
    <t>SELECT TOP 5 * FROM log.Logs ORDER BY TimeStamp DESC; SELECT TOP 5 * FROM log.track ORDER BY 1 DESC;</t>
  </si>
  <si>
    <t>BD de pruebas restaurada en la nube. Durante toda la prueba log.Logs y log.track siguieron escribiendo (pedidos, reservas, OC, conexiones); errores controlados registrados en el Log general.</t>
  </si>
  <si>
    <t>E1-03</t>
  </si>
  <si>
    <t>T2a</t>
  </si>
  <si>
    <t>Conexiones FTP / Autómata / SMTP</t>
  </si>
  <si>
    <t>—</t>
  </si>
  <si>
    <t>Editar la contraseña de FTP SERVIDOR-PRUEBA-T2, de la conexión del autómata y la clave SMTP; abrir el Track de cada una.</t>
  </si>
  <si>
    <t>Track muestra '********' y '******** (modificada)'; nunca el valor ni un hash.</t>
  </si>
  <si>
    <t>SELECT TOP 10 * FROM log.track WHERE ENTITY_NAME LIKE '%Connection%' OR ENTITY_NAME LIKE '%NotificationProvider%' ORDER BY 1 DESC;</t>
  </si>
  <si>
    <t>BD de pruebas restaurada en la nube. Contraseña cambiada en la conexión del autómata y en el SMTP: Track guarda "******** (modificada)"; FTP con movimiento ya enmascarado; la clave de prueba aparece 0 veces en log.track.</t>
  </si>
  <si>
    <t>E1-04</t>
  </si>
  <si>
    <t>BD - histórico log.track</t>
  </si>
  <si>
    <t>Script 02 ejecutado</t>
  </si>
  <si>
    <t>Ejecutar 02 - Ofuscar historico Track.sql (re-ejecutable).</t>
  </si>
  <si>
    <t>No quedan contraseñas en claro en el histórico.</t>
  </si>
  <si>
    <t>Buscar en log.track textos de clave conocidos (ej. clave SMTP anterior): 0 filas.</t>
  </si>
  <si>
    <t>Corregido el script 02: la verificación final (EXISTS dentro de SUM, Msg 130) impedía ejecutar todo el lote. Ejecutado 2 veces: 0 contraseñas sin ofuscar.</t>
  </si>
  <si>
    <t>E1-05</t>
  </si>
  <si>
    <t>T2b</t>
  </si>
  <si>
    <t>Track - 19 entidades ITrackeable</t>
  </si>
  <si>
    <t>Ejecutar una acción por entidad (cierre/modificación de pedido, modificación de reserva, despacho, traslado, OC, ajuste OC, tolerancias, alarma de tránsito, usuarios-alarma, notificaciones, patrones y destinatarios del autómata, conexiones).</t>
  </si>
  <si>
    <t>Cada acción genera su movimiento en Track con usuario y fecha.</t>
  </si>
  <si>
    <t>Scripts\Pruebas 04 - Pruebas T2 Track.sql</t>
  </si>
  <si>
    <t>Las 19 entidades nuevas con ITrackeable tienen movimientos en log.track (22/10 a 25/10); P02 sin credenciales en claro.</t>
  </si>
  <si>
    <t>E1-06</t>
  </si>
  <si>
    <t>T3</t>
  </si>
  <si>
    <t>BD - consulta de visualización de alarmas</t>
  </si>
  <si>
    <t>Script 03</t>
  </si>
  <si>
    <t>Ejecutar SP_GET_ALARM_LOG_TYPES y SP_GET_ALARM_LOG con rango de fechas.</t>
  </si>
  <si>
    <t>10 tipos; rango obligatorio; solo alarmas con al menos una visualización; filtro @EmployeeId; paginación con total.</t>
  </si>
  <si>
    <t>Pruebas P03 (21 casos)</t>
  </si>
  <si>
    <t>P03 actualizado a la regla nueva (solo alarmas visualizadas, filtro por empleado): 23/23 OK.</t>
  </si>
  <si>
    <t>E1-07</t>
  </si>
  <si>
    <t>T3b</t>
  </si>
  <si>
    <t>Alarmas de inventario - ciclo de vida</t>
  </si>
  <si>
    <t>Script 04; referencia con mínimo</t>
  </si>
  <si>
    <t>Bajar el disponible bajo el mínimo; volver a moverlo sin cambiar la cantidad; confirmar OC que repone.</t>
  </si>
  <si>
    <t>Nace una alarma; si la condición se repite se refresca y borra visualizaciones; muere al confirmar OC. Cada evento queda en INVENTORY_ALARM_LOG con estado anterior/nuevo y origen.</t>
  </si>
  <si>
    <t>SELECT TOP 20 * FROM dbo.INVENTORY_ALARM_LOG ORDER BY 1 DESC;</t>
  </si>
  <si>
    <t>P04 (transacción revertida): refresco por comprometido, OC que cubre el mínimo, inactivación por ingreso y bodega local/sin stock: 11/11 OK. P04 corregido (DECLARE de tabla con escalares).</t>
  </si>
  <si>
    <t>E1-08</t>
  </si>
  <si>
    <t>Alarma bodega local</t>
  </si>
  <si>
    <t>Referencia con mínimo en Bodega Local</t>
  </si>
  <si>
    <t>Mover inventario de Bodega Local bajo el mínimo.</t>
  </si>
  <si>
    <t>Solo evalúa Bodega Local; refresca y registra log igual que las demás.</t>
  </si>
  <si>
    <t>INVENTORY_ALARM_LOG con ALARM_TYPE_CODE = 'MINIMUM_LOCAL_WAREHOUSE'</t>
  </si>
  <si>
    <t>P04 L1–L3: movimiento en Zona Franca sin efecto, refresco y alcance del mínimo en Bodega Local; log con origen.</t>
  </si>
  <si>
    <t>E1-09</t>
  </si>
  <si>
    <t>T3c</t>
  </si>
  <si>
    <t>Job 'Verificacion Alarmas'</t>
  </si>
  <si>
    <t>Script 05 (permisos msdb)</t>
  </si>
  <si>
    <t>Ejecutar el job manualmente.</t>
  </si>
  <si>
    <t>Refrescos solo si cambió la cantidad; inactivaciones directas con origen 'Proceso programado - depuración'.</t>
  </si>
  <si>
    <t>Pruebas P04 (J1–J3)</t>
  </si>
  <si>
    <t>Job "Verificacion Alarmas" creado en el SQL Server de pruebas; script 05 aplicado 2 veces; ejecución real del job: pasos OK, 2 inactivaciones con origen "Proceso programado - depuración", sin refrescos sin cambio. Validar en producción el permiso sobre msdb.</t>
  </si>
  <si>
    <t>E1-10</t>
  </si>
  <si>
    <t>T4/T5</t>
  </si>
  <si>
    <t>Consulta de Log &gt; Visualización de alarmas (Órdenes, Pedidos, Reservas)</t>
  </si>
  <si>
    <t>Rol de cada contexto</t>
  </si>
  <si>
    <t>Script 06</t>
  </si>
  <si>
    <t>Abrir cada contexto; filtrar por fechas, empleado y texto; expandir una alarma. Abrir un contexto sin rol.</t>
  </si>
  <si>
    <t>Solo alarmas visualizadas; totales = SP; al expandir, empleados que la visualizaron con área y fecha. Sin rol: /unauthorized.</t>
  </si>
  <si>
    <t>Pruebas P05</t>
  </si>
  <si>
    <t>10 tipos en 4 contextos = SP. Ajuste pedido por Andrés: solo alarmas visualizadas, filtro Empleado (Eseban 304 / Gustavo 417 = BD) y subgrilla con empleado, área y fecha al expandir. Sin rol: R-07.</t>
  </si>
  <si>
    <t>E1-11</t>
  </si>
  <si>
    <t>Log de inventarios &gt; Inactivaciones y refrescos</t>
  </si>
  <si>
    <t>Log de inventarios</t>
  </si>
  <si>
    <t>Filtrar por tipo de alarma, evento, fechas y texto.</t>
  </si>
  <si>
    <t>Muestra estado anterior → nuevo y origen; totales = BD.</t>
  </si>
  <si>
    <t>SELECT COUNT(*) FROM dbo.INVENTORY_ALARM_LOG WHERE EVENT_DATE BETWEEN ...</t>
  </si>
  <si>
    <t>Todos 9 / cantidades mínimas 8 / + inactivación 6 = BD; estado anterior → nuevo y origen.</t>
  </si>
  <si>
    <t>E1-12</t>
  </si>
  <si>
    <t>T6/T7</t>
  </si>
  <si>
    <t>Log del sistema &gt; Track</t>
  </si>
  <si>
    <t>Log del sistema</t>
  </si>
  <si>
    <t>Scripts 07, 08</t>
  </si>
  <si>
    <t>Buscar por objeto (pedido 39471) sin entidad; buscar por entidad sin objeto; aplicar fechas, acción y usuario; abrir detalle.</t>
  </si>
  <si>
    <t>Movimientos de todas las entidades del pedido; detalle campo/anterior/nuevo con cambios resaltados y descripción de Id.</t>
  </si>
  <si>
    <t>Pruebas P06</t>
  </si>
  <si>
    <t>Búsqueda por pedido 39471 sin entidad: 8 movimientos de Pedido, Detalle, Pedido cancelado y modificado = LOG_TRACK_OBJECTS; detalle con anterior/nuevo y descripción de Ids (Referencia "[VA-196] Abanico - Azul", Cliente). P06 corregido y 7/7 OK.</t>
  </si>
  <si>
    <t>E1-13</t>
  </si>
  <si>
    <t>T6c</t>
  </si>
  <si>
    <t>Track - nombres en español</t>
  </si>
  <si>
    <t>Script 09</t>
  </si>
  <si>
    <t>Abrir el detalle de un movimiento; activar 'Ver campos técnicos'.</t>
  </si>
  <si>
    <t>Campos en español (técnico en tooltip); 'Pedido especial', 'Precio bomba' traducidos; técnicos ocultos por defecto.</t>
  </si>
  <si>
    <t>SELECT * FROM dbo.LOG_TRACK_FIELD_NAMES WHERE FIELD_NAME IN ('IsSpecialOrder','IsBombPrice');</t>
  </si>
  <si>
    <t>Campos en español (Pedido especial, Cliente, Observaciones…); campos técnicos ocultos por defecto. Corregido: booleanos se mostraban True/False, ahora Sí/No (prueba unitaria).</t>
  </si>
  <si>
    <t>E1-14</t>
  </si>
  <si>
    <t>Marca $ BOMBA</t>
  </si>
  <si>
    <t>T8</t>
  </si>
  <si>
    <t>Artículos &gt; Editar - Precio bomba</t>
  </si>
  <si>
    <t>Script 14</t>
  </si>
  <si>
    <t>Marcar Precio bomba en un artículo; luego marcar Oferta; probar un nombre que supere 50 caracteres con el sufijo.</t>
  </si>
  <si>
    <t>Sufijo ' - $ BOMBA'; Oferta y Precio bomba excluyentes (cambia el sufijo); mensaje si supera 50 caracteres. Sigue generando alarmas y preorden.</t>
  </si>
  <si>
    <t>SELECT ITEM_NAME, IS_BOMB_PRICE, IS_SALE_OFF FROM items WHERE ITEM_ID = 2554;</t>
  </si>
  <si>
    <t>MU-357: sufijo " - $ BOMBA"; Oferta desmarca Precio bomba y cambia el sufijo; mensaje si supera 50 caracteres; guardado y en Track.</t>
  </si>
  <si>
    <t>E1-15</t>
  </si>
  <si>
    <t>T9</t>
  </si>
  <si>
    <t>Tablero &gt; Cantidades mínimas (diálogo de inventario)</t>
  </si>
  <si>
    <t>HO-13 / ASTON-STY con Precio bomba y en alarma</t>
  </si>
  <si>
    <t>Abrir el diálogo de inventario de la alarma (con y sin imagen).</t>
  </si>
  <si>
    <t>Etiqueta '$ BOMBA' sobre la imagen o en el espacio vacío.</t>
  </si>
  <si>
    <t>HO-13 y ASTON-STY: etiqueta "$ BOMBA" en el diálogo de inventario (caso sin imagen: las imágenes están en el equipo de Andrés). Pendiente en local: caso con imagen.</t>
  </si>
  <si>
    <t>E1-16</t>
  </si>
  <si>
    <t>Correo de cantidades mínimas (Excel)</t>
  </si>
  <si>
    <t>Cola RabbitMQ / NotificationProcessor activos</t>
  </si>
  <si>
    <t>Disparar el envío periódico; abrir el Excel adjunto.</t>
  </si>
  <si>
    <t>La marca $ BOMBA aparece sobre la imagen de los artículos marcados.</t>
  </si>
  <si>
    <t>Pendiente desde E1: verificar el Excel recibido.</t>
  </si>
  <si>
    <t>Pendiente</t>
  </si>
  <si>
    <t>En la nube no hay SMTP saliente: lo valida Andrés en su equipo (Excel del correo con $ BOMBA sobre la imagen).</t>
  </si>
  <si>
    <t>E2-01</t>
  </si>
  <si>
    <t>T10–T13</t>
  </si>
  <si>
    <t>Log de pedidos &gt; Modificación/Cancelación de despachos y traslados a proceso</t>
  </si>
  <si>
    <t>Log de pedidos</t>
  </si>
  <si>
    <t>Script 10</t>
  </si>
  <si>
    <t>Abrir las 4 pantallas con un rango amplio; buscar por pedido; abrir el enlace al pedido.</t>
  </si>
  <si>
    <t>Totales = BD (referencia 67, 125, 10.153, 330 a la fecha de prueba); enlace abre el detalle.</t>
  </si>
  <si>
    <t>SELECT COUNT(*) FROM &lt;tabla de log&gt; WHERE fecha BETWEEN ...</t>
  </si>
  <si>
    <t>Despachos 67/125, traslados 10.153/330 = BD; el número de pedido abre el detalle (con Pedido especial).</t>
  </si>
  <si>
    <t>E2-02</t>
  </si>
  <si>
    <t>T14a</t>
  </si>
  <si>
    <t>Log de órdenes &gt; Solicitudes de ajustes</t>
  </si>
  <si>
    <t>Log de ordenes de compra</t>
  </si>
  <si>
    <t>Script 11, 15</t>
  </si>
  <si>
    <t>Filtrar por fechas; revisar OC 742 (devuelto) y 752 (confirmada).</t>
  </si>
  <si>
    <t>Una fila por solicitud con resolución (En aprobación / Aprobada / Devuelta), quién y motivo. Estado correcto tras script 15.</t>
  </si>
  <si>
    <t>SELECT * FROM PURCHASE_ORDER_ADJUSTMENT_LOG WHERE PURCHASE_ORDER_ID IN (742,752);</t>
  </si>
  <si>
    <t>6 solicitudes con resolución (Aprobada/Devuelta), quién y motivo. En esta BD no están las OC 742/752 de la referencia; estado correcto tras el script 15.</t>
  </si>
  <si>
    <t>E2-03</t>
  </si>
  <si>
    <t>T14b</t>
  </si>
  <si>
    <t>Log de órdenes &gt; Tolerancias de ajustes</t>
  </si>
  <si>
    <t>Script 11</t>
  </si>
  <si>
    <t>Revisar el cambio de tolerancia 351–400 a 0,06.</t>
  </si>
  <si>
    <t>Valor anterior y nuevo correctos; el último cambio toma el valor actual.</t>
  </si>
  <si>
    <t>SELECT * FROM PURCHASE_ORDER_APPROVAL_RANGE_LOG ORDER BY 1 DESC;</t>
  </si>
  <si>
    <t>351–400: 0,05 → 0,06 y demás cambios con valor anterior y nuevo.</t>
  </si>
  <si>
    <t>E2-04</t>
  </si>
  <si>
    <t>T15/T16</t>
  </si>
  <si>
    <t>Log del sistema &gt; Log general</t>
  </si>
  <si>
    <t>Script 12</t>
  </si>
  <si>
    <t>Filtrar por fecha, nivel, origen y texto; abrir ocurrencias y detalle técnico.</t>
  </si>
  <si>
    <t>Grupos por plantilla con ocurrencias, primera y última fecha; detalle con excepción y propiedades.</t>
  </si>
  <si>
    <t>SELECT COUNT(*) FROM log.Logs WHERE TimeStamp &gt;= ...</t>
  </si>
  <si>
    <t>Oct-2026: 36 grupos, nivel Error 8 = SP; ocurrencias y detalle técnico (excepción) se abren.</t>
  </si>
  <si>
    <t>E2-05</t>
  </si>
  <si>
    <t>T15b</t>
  </si>
  <si>
    <t>Log general - Autómata de existencias</t>
  </si>
  <si>
    <t>Script 13 + NLog.config del autómata</t>
  </si>
  <si>
    <t>Ejecutar el autómata; filtrar origen 'AutomataExistencias'.</t>
  </si>
  <si>
    <t>Mensajes del autómata agrupados, niveles Information/Warning.</t>
  </si>
  <si>
    <t>SELECT TOP 10 * FROM log.Logs WHERE ... 'AutomataExistencias' ORDER BY TimeStamp DESC;</t>
  </si>
  <si>
    <t>Simulado: llamadas a log.SP_INSERT_AUTOMATA_EXISTENCIAS_LOG (Info/Warn/Error) aparecen en el Log general con origen AutomataExistencias y su nivel. Pendiente en local: el autómata real con el NLog.config.</t>
  </si>
  <si>
    <t>E2-06</t>
  </si>
  <si>
    <t>T18</t>
  </si>
  <si>
    <t>Deuda 4 - estado en log de ajustes</t>
  </si>
  <si>
    <t>Script 15</t>
  </si>
  <si>
    <t>Confirmar una OC con ajustes aprobados.</t>
  </si>
  <si>
    <t>El log registra el estado nuevo (Confirmada).</t>
  </si>
  <si>
    <t>SELECT TOP 5 * FROM PURCHASE_ORDER_ADJUSTMENT_LOG ORDER BY 1 DESC;</t>
  </si>
  <si>
    <t>Ajustes aprobados registrados como Confirmada (OC 744, 749), devueltos como Pendiente; ninguno en "En aprobación". OC nueva 0000000741 confirmada desde la pantalla.</t>
  </si>
  <si>
    <t>E3-01</t>
  </si>
  <si>
    <t>T19</t>
  </si>
  <si>
    <t>OC - edición sin cambio de cantidad</t>
  </si>
  <si>
    <t>Referencia en alarma con visualizaciones</t>
  </si>
  <si>
    <t>Editar la OC sin cambiar cantidades.</t>
  </si>
  <si>
    <t>La alarma activa no se refresca y conserva sus visualizaciones.</t>
  </si>
  <si>
    <t>SELECT * FROM visualized_minimum_quantity_alarms WHERE MINIMUM_QUANTITY_ALARM_ID = ...</t>
  </si>
  <si>
    <t>OC 0000000526 editada solo en la proforma: alarma 15904 sigue activa, misma fecha, 2 visualizaciones, 0 eventos; modificación registrada.</t>
  </si>
  <si>
    <t>E3-02</t>
  </si>
  <si>
    <t>T20</t>
  </si>
  <si>
    <t>Reportes &gt; Artículos y referencias</t>
  </si>
  <si>
    <t>Script 16</t>
  </si>
  <si>
    <t>Probar las 10 condiciones de tres estados (Sí, No, Todos) y el resumen 'Condición: Sí/No'.</t>
  </si>
  <si>
    <t>Conteos = BD por cada condición.</t>
  </si>
  <si>
    <t>Consultas de conteo por IS_ACTIVE, IS_BOMB_PRICE, etc.</t>
  </si>
  <si>
    <t>10 condiciones: Sí + No = Todos en BD (7.551 referencias). En pantalla Precio bomba = Sí: solo ASTON-STY, HO-13 y MU-357 (28 referencias) y resumen "Precio bomba: Sí".</t>
  </si>
  <si>
    <t>E3-03</t>
  </si>
  <si>
    <t>T21</t>
  </si>
  <si>
    <t>Reportes &gt; Stock mínimo de bodega</t>
  </si>
  <si>
    <t>Precio bomba Sí/No/Todos.</t>
  </si>
  <si>
    <t>Conteos = BD.</t>
  </si>
  <si>
    <t>Precio bomba: Sí 27 + No 6.225 = 6.252 en BD; en pantalla resumen con la condición y solo artículos $ BOMBA.</t>
  </si>
  <si>
    <t>E3-04</t>
  </si>
  <si>
    <t>T22/T22b</t>
  </si>
  <si>
    <t>Reportes &gt; Movimiento de referencia</t>
  </si>
  <si>
    <t>Artículo activo / Referencia activa / Precio bomba en Sí, No y Todos (por defecto Sí/Sí/Todos).</t>
  </si>
  <si>
    <t>Conteos = BD (referencia: 6252 / 1100 / 483 / 24).</t>
  </si>
  <si>
    <t>Valores iniciales Sí / Sí / Todos; jul-2025: Sí + No = Todos en las tres condiciones (24.868 movimientos).</t>
  </si>
  <si>
    <t>E3-05</t>
  </si>
  <si>
    <t>T22</t>
  </si>
  <si>
    <t>Movimiento de referencia desde alarma</t>
  </si>
  <si>
    <t>Alarma de mínimos activa</t>
  </si>
  <si>
    <t>Abrir el reporte desde el diálogo de la alarma.</t>
  </si>
  <si>
    <t>Referencia bloqueada; Precio bomba deshabilitado; reporte correcto.</t>
  </si>
  <si>
    <t>Pendiente desde T22.</t>
  </si>
  <si>
    <t>Abierto desde la alarma de HO-13: referencia fija (línea, artículo y referencia deshabilitados); las condiciones no se ofrecen porque no aplican.</t>
  </si>
  <si>
    <t>E3-06</t>
  </si>
  <si>
    <t>Pedido especial</t>
  </si>
  <si>
    <t>T23</t>
  </si>
  <si>
    <t>BD - Pedido especial</t>
  </si>
  <si>
    <t>Script 17</t>
  </si>
  <si>
    <t>Ejecutar 17 dos veces.</t>
  </si>
  <si>
    <t>Columna creada una sola vez; pedidos existentes = No.</t>
  </si>
  <si>
    <t>SELECT COUNT(*) FROM customer_orders WHERE IS_SPECIAL_ORDER &lt;&gt; 0; -- 0 antes de crear especiales</t>
  </si>
  <si>
    <t>Script 17 ejecutado 2 veces sin errores.</t>
  </si>
  <si>
    <t>E3-07</t>
  </si>
  <si>
    <t>T24</t>
  </si>
  <si>
    <t>Pedidos &gt; Crear</t>
  </si>
  <si>
    <t>Creación de pedidos</t>
  </si>
  <si>
    <t>Guardar sin elegir Pedido especial; elegir Sí y en la confirmación 'No, modificar'; luego 'Sí, crear'.</t>
  </si>
  <si>
    <t>Mensaje obligatorio; 'No, modificar' no graba y conserva lo digitado; 'Sí, crear' graba con IS_SPECIAL_ORDER = 1.</t>
  </si>
  <si>
    <t>SELECT TOP 2 ORDER_NUMBER, IS_SPECIAL_ORDER FROM customer_orders ORDER BY 1 DESC;</t>
  </si>
  <si>
    <t>Sin elegir: "Debe indicar si es un pedido especial"; Sí → "No, modificar" conserva lo digitado; "Sí, crear" graba 0000039475 con IS_SPECIAL_ORDER = 1.</t>
  </si>
  <si>
    <t>E3-08</t>
  </si>
  <si>
    <t>Reservas &gt; Crear pedido desde reserva</t>
  </si>
  <si>
    <t>Modificación de reservas</t>
  </si>
  <si>
    <t>Reserva activa</t>
  </si>
  <si>
    <t>Mismo flujo de confirmación; revisar tabulación y tildes.</t>
  </si>
  <si>
    <t>Igual que Crear; Tab fecha → Pedido especial → notas.</t>
  </si>
  <si>
    <t>Reserva 0000000093 creada y modificada; convertida en pedido 0000039476 (especial): obligatorio, confirmación, Tab fecha → Pedido especial → notas; reserva queda En Pedido.</t>
  </si>
  <si>
    <t>E3-09</t>
  </si>
  <si>
    <t>Pedidos &gt; Editar</t>
  </si>
  <si>
    <t>Modificación de pedidos</t>
  </si>
  <si>
    <t>Pedido especial creado</t>
  </si>
  <si>
    <t>Cambiar Sí→No: confirmación de cambio ('No, modificar' / 'Sí, cambiar'); editar solo notas.</t>
  </si>
  <si>
    <t>Confirma solo si cambia; queda en Track y en log de modificaciones.</t>
  </si>
  <si>
    <t>SELECT IS_SPECIAL_ORDER FROM customer_orders WHERE ORDER_NUMBER = '...';</t>
  </si>
  <si>
    <t>Editar solo notas: sin confirmación de Pedido especial; Sí → No: "Pedido especial cambia de SÍ a NO", "No, modificar" vuelve; "Sí, cambiar" graba; 2 registros en el log de modificaciones y Track True → False.</t>
  </si>
  <si>
    <t>E3-10</t>
  </si>
  <si>
    <t>T25</t>
  </si>
  <si>
    <t>Pedidos &gt; Lista</t>
  </si>
  <si>
    <t>Consulta de pedidos</t>
  </si>
  <si>
    <t>Pedidos Sí y No</t>
  </si>
  <si>
    <t>Columna; casilla de tres estados con buscador; cambiar estando en página 3.</t>
  </si>
  <si>
    <t>Conteos = BD; vuelve a página 1.</t>
  </si>
  <si>
    <t>SELECT IS_SPECIAL_ORDER, COUNT(*) FROM customer_orders GROUP BY IS_SPECIAL_ORDER;</t>
  </si>
  <si>
    <t>Columna Pedido especial en la lista. Desde la página 3, Sí = 1 (39474) y vuelve a página 1; No = 39473 = BD (39474 total).</t>
  </si>
  <si>
    <t>Claude App</t>
  </si>
  <si>
    <t>24/10/2026</t>
  </si>
  <si>
    <t>E3-11</t>
  </si>
  <si>
    <t>Detalle del pedido</t>
  </si>
  <si>
    <t>Abrir el detalle desde un log o notificación.</t>
  </si>
  <si>
    <t>Muestra 'Pedido especial: Sí/No'.</t>
  </si>
  <si>
    <t>Detalle desde el log de modificación: 'Pedido especial: No' (39473).</t>
  </si>
  <si>
    <t>E3-12</t>
  </si>
  <si>
    <t>Resumen del pedido (imprimir / PDF / correo)</t>
  </si>
  <si>
    <t>Descarga de formato de pedidos</t>
  </si>
  <si>
    <t>Pedido especial con notas internas</t>
  </si>
  <si>
    <t>Imprimir; Guardar PDF; enviar correo al cliente 79872389.</t>
  </si>
  <si>
    <t>Imprimir y PDF incluyen Pedido especial y Observaciones internas; el PDF del correo NO las incluye.</t>
  </si>
  <si>
    <t>Imprimir/PDF verificados por la Claude App; falta revisar el PDF adjunto en el correo (sin SMTP en la nube): Andrés en local.</t>
  </si>
  <si>
    <t>E3-13</t>
  </si>
  <si>
    <t>T26</t>
  </si>
  <si>
    <t>BD - script 18</t>
  </si>
  <si>
    <t>Scripts 17 y anteriores</t>
  </si>
  <si>
    <t>Ejecutar 18 dos veces.</t>
  </si>
  <si>
    <t>8 líneas '… actualizado' sin errores; si sale 'estructura esperada', detener.</t>
  </si>
  <si>
    <t>SELECT OBJECT_NAME FROM RQM_LOGS_OBJECT_BACKUP;</t>
  </si>
  <si>
    <t>Script 18 corregido (EXEC no admite expresiones; textos en variables). Ejecutado 2 veces sobre la BD de pruebas restaurada (SP reales): 8 "actualizado", sin errores. Reversa probada en BD de ensayo. Falta E3-14 a E3-23 en la aplicación.</t>
  </si>
  <si>
    <t>E3-14</t>
  </si>
  <si>
    <t>Reportes &gt; Pedidos</t>
  </si>
  <si>
    <t>Rol del reporte</t>
  </si>
  <si>
    <t>Pedidos especiales de prueba</t>
  </si>
  <si>
    <t>Filtrar solo con Pedido especial = Sí; luego No + cliente/fechas; luego Todos.</t>
  </si>
  <si>
    <t>Sí solo especiales; No ningún especial; Todos igual que antes. Dato por pedido y condición en el resumen (pantalla e impresión).</t>
  </si>
  <si>
    <t>SELECT ORDER_NUMBER FROM customer_orders WHERE IS_SPECIAL_ORDER = 1;</t>
  </si>
  <si>
    <t>BD de pruebas restaurada; ~10% de pedidos marcados como especiales en la copia local. Fecha de pedido 16/07/2025: Todos 152 (Sí 15/No 137), Sí 15, No 137 = BD; resumen con la condición; dato por pedido. Contenido de impresión/PDF: condición + 15 pedidos. SP: Sí+No=Todos en jul-2025 (6.263 filas).</t>
  </si>
  <si>
    <t>E3-15</t>
  </si>
  <si>
    <t>Reportes &gt; Back order</t>
  </si>
  <si>
    <t>BD de pruebas restaurada; ~10% de pedidos marcados como especiales en la copia local. Jul-2025: Todos 66, Sí 6, No 60 = BD; resumen y dato por pedido; impresión/PDF OK.</t>
  </si>
  <si>
    <t>E3-16</t>
  </si>
  <si>
    <t>Reportes &gt; Actividades</t>
  </si>
  <si>
    <t>BD de pruebas restaurada; ~10% de pedidos marcados como especiales en la copia local. 16/07/2025: Todos 152, Sí 15, No 137 = BD; resumen y dato por pedido; impresión/PDF OK.</t>
  </si>
  <si>
    <t>E3-17</t>
  </si>
  <si>
    <t>Reportes &gt; Ventas</t>
  </si>
  <si>
    <t>E3-18</t>
  </si>
  <si>
    <t>Reportes &gt; Asignación automática</t>
  </si>
  <si>
    <t>BD de pruebas restaurada; ~10% de pedidos marcados como especiales en la copia local. Jul-2025: 230 pares documento-pedido (un pedido aparece bajo cada OC/traslado que le asignó), Sí 25, No 205 = BD; impresión/PDF OK. Corregidos 4 mensajes de validación de fechas que no correspondían a su campo (preexistente).</t>
  </si>
  <si>
    <t>E3-19</t>
  </si>
  <si>
    <t>Reportes &gt; Pendientes de traslado automático</t>
  </si>
  <si>
    <t>BD de pruebas restaurada; ~10% de pedidos marcados como especiales en la copia local. Pedidos jul-2025: Todos 18, Sí 3, No 15 = BD; resumen y dato por pedido. La pantalla no tiene acción de impresión/PDF.</t>
  </si>
  <si>
    <t>E3-20</t>
  </si>
  <si>
    <t>Asignación automática - filtros combinados</t>
  </si>
  <si>
    <t>Fecha de pedido + otro filtro; fecha estimada inicial y final.</t>
  </si>
  <si>
    <t>Sin error (antes fallaba).</t>
  </si>
  <si>
    <t>SP con fecha de pedido + cliente y con fecha estimada inicial y final: sin error. La pantalla exige inicial y final juntas.</t>
  </si>
  <si>
    <t>E3-21</t>
  </si>
  <si>
    <t>Pendientes de traslado - filtros</t>
  </si>
  <si>
    <t>Filtrar por cliente, estado, fecha de pedido, fecha de proceso; referencias + otro filtro.</t>
  </si>
  <si>
    <t>Ahora filtran (antes se ignoraban); sin error de coma doble.</t>
  </si>
  <si>
    <t>Pendientes de traslado: cliente (42 de 102), estado (78), fecha de pedido (8), fecha de proceso (7), fecha estimada (7) y referencia + cliente (1): todas las filas cumplen el filtro; sin error de coma doble.</t>
  </si>
  <si>
    <t>E3-22</t>
  </si>
  <si>
    <t>Exportaciones Pedidos y Back order (CSV/Excel)</t>
  </si>
  <si>
    <t>Exportar con filtros (incl. Pedido especial = Sí) y sin filtros.</t>
  </si>
  <si>
    <t>Columna 'Pedido especial'; respeta filtros; encabezado 'Observaciones Internas'.</t>
  </si>
  <si>
    <t>Excel y CSV de Pedidos (Sí 15 / Todos 152 / No 137 pedidos) y Back order (Sí 6 / No 60) = BD; columna "Pedido especial"; respetan filtros; encabezado "Observaciones Internas". Corregido (preexistente): el CSV no ponía entre comillas los valores con coma o salto de línea (teléfonos "310…,263…", observaciones en varias líneas) y se corrían las columnas; ahora cumple RFC 4180 (prueba unitaria).</t>
  </si>
  <si>
    <t>E3-23</t>
  </si>
  <si>
    <t>Seguridad de exportaciones</t>
  </si>
  <si>
    <t>Sin sesión / con sesión</t>
  </si>
  <si>
    <t>Incógnito: abrir /export/AldebaranDb/customer-order/excel. Con sesión: ?OrderNumber=1' OR '1'='1.</t>
  </si>
  <si>
    <t>Sin sesión pide login; con inyección no trae pedidos ni ejecuta nada.</t>
  </si>
  <si>
    <t>Sin sesión: 302 a /Account/Login (Pedidos y Back order). Con sesión ?OrderNumber=1' OR '1'='1: 200 con solo el encabezado (no trae pedidos ni ejecuta nada). El stack trace en texto plano solo aparece en modo Development; en producción aplica UseExceptionHandler("/Error").</t>
  </si>
  <si>
    <t>E3-24</t>
  </si>
  <si>
    <t>T27</t>
  </si>
  <si>
    <t>Logs de pedidos (modificación, cancelación, cierre)</t>
  </si>
  <si>
    <t>Revisar la columna y el título 'Modificado por'.</t>
  </si>
  <si>
    <t>Columna = BD; título corregido.</t>
  </si>
  <si>
    <t>Columna Pedido especial en modificación, cancelación y cierre; título 'Modificado por' corregido.</t>
  </si>
  <si>
    <t>E3-25</t>
  </si>
  <si>
    <t>Logs de despachos y traslados</t>
  </si>
  <si>
    <t>Script 19</t>
  </si>
  <si>
    <t>Ejecutar 19 dos veces; abrir las 4 pantallas.</t>
  </si>
  <si>
    <t>Columna 'Pedido especial' = BD.</t>
  </si>
  <si>
    <t>Script 19 ejecutado 2 veces (1ª actualizado, 2ª sin cambios). Las 4 pantallas muestran la columna (despacho 39091 No; traslado 39465 No).</t>
  </si>
  <si>
    <t>E3-26</t>
  </si>
  <si>
    <t>T28</t>
  </si>
  <si>
    <t>Tablero</t>
  </si>
  <si>
    <t>Pedidos vencidos; OC confirmadas con asignación automática (expandir); modificaciones de traslados automáticos.</t>
  </si>
  <si>
    <t>Columna 'Pedido especial' en las tres.</t>
  </si>
  <si>
    <t>Columna en Pedidos vencidos, Creación automática de traslados (al expandir) y Modificaciones de traslados automáticos.</t>
  </si>
  <si>
    <t>E3-27</t>
  </si>
  <si>
    <t>Despachos y traslados a proceso</t>
  </si>
  <si>
    <t>Despachos / Traslados</t>
  </si>
  <si>
    <t>Lista de pedidos; crear y modificar despacho y traslado.</t>
  </si>
  <si>
    <t>Columna en lista; 'Pedido especial: Sí/No' en el encabezado; tildes correctas.</t>
  </si>
  <si>
    <t>Columna en listas de despachos y traslados; 'Pedido especial: Sí' en el encabezado de traslado a proceso del 39474. No se crearon ni modificaron despachos/traslados.</t>
  </si>
  <si>
    <t>E3-28</t>
  </si>
  <si>
    <t>T29</t>
  </si>
  <si>
    <t>Pedidos &gt; Cerrar pedido en proceso</t>
  </si>
  <si>
    <t>Cierre de pedidos</t>
  </si>
  <si>
    <t>Pedido con cantidades en proceso que se pueda cerrar</t>
  </si>
  <si>
    <t>Cerrar el pedido.</t>
  </si>
  <si>
    <t>Cierra y aparece en el log de cierre con su columna Pedido especial.</t>
  </si>
  <si>
    <t>Pendiente desde T23.</t>
  </si>
  <si>
    <t>Pedido 0000038653 (especial) cerrado vía solicitud aprobada; el log de cierre lo muestra con Pedido especial: Sí.</t>
  </si>
  <si>
    <t>E4-01</t>
  </si>
  <si>
    <t>Generador de consecutivos</t>
  </si>
  <si>
    <t>C1</t>
  </si>
  <si>
    <t>BD - script 20</t>
  </si>
  <si>
    <t>Ejecutar 20 dos veces.</t>
  </si>
  <si>
    <t>Sin errores; objetos creados una vez. Sobre la versión anterior: "CODE ajustado a varchar(5)".</t>
  </si>
  <si>
    <t>SELECT name FROM sys.objects WHERE name LIKE '%INTERNAL_REFERENCE%';</t>
  </si>
  <si>
    <t>Nueva versión del 20: 1ª ejecución sobre la anterior ajustó CODE a varchar(5) conservando los consecutivos de prueba; 2ª sin cambios. Reversa + base limpia + 2 ejecuciones: OK.</t>
  </si>
  <si>
    <t>E4-02</t>
  </si>
  <si>
    <t>C3/C5</t>
  </si>
  <si>
    <t>Consecutivos - validaciones</t>
  </si>
  <si>
    <t>Modificación de artículos</t>
  </si>
  <si>
    <t>Consultar y Generar sin código; código de 7 caracteres; con guion; con _; cantidad 0 y 1001; corregir y dar un clic en Generar.</t>
  </si>
  <si>
    <t>Mensaje de validación debajo de los campos, sin cortar el código ni cambiar la cantidad; al corregir se retira el mensaje y el primer clic abre la confirmación.</t>
  </si>
  <si>
    <t>Corregido: sin MaxLength ni Min en los campos; validación con mensaje; mensaje debajo de los campos y se retira al cambiar código o cantidad. Pantalla P02–P11 OK.</t>
  </si>
  <si>
    <t>E4-03</t>
  </si>
  <si>
    <t>C5</t>
  </si>
  <si>
    <t>Consecutivos - código nuevo</t>
  </si>
  <si>
    <t>Código sin artículos ni generados (ej. ZZ)</t>
  </si>
  <si>
    <t>Cantidad 3, Generar.</t>
  </si>
  <si>
    <t>Genera ZZ-001, ZZ-002, ZZ-003 (Generado ahora = Sí).</t>
  </si>
  <si>
    <t>SELECT * FROM INTERNAL_REFERENCE_CONSECUTIVES WHERE CODE = 'ZZ';</t>
  </si>
  <si>
    <t>ZZ cantidad 3: ZZ-001..003, Generado ahora = Sí (pantalla).</t>
  </si>
  <si>
    <t>E4-04</t>
  </si>
  <si>
    <t>Consecutivos - código con artículos</t>
  </si>
  <si>
    <t>Código con artículos (ej. el mayor es MU-025), sin disponibles</t>
  </si>
  <si>
    <t>Cantidad 2, Generar.</t>
  </si>
  <si>
    <t>Genera MU-026 y MU-027 (por encima del mayor usado).</t>
  </si>
  <si>
    <t>SELECT MAX(INTERNAL_REFERENCE) FROM items WHERE INTERNAL_REFERENCE LIKE 'MU-[0-9][0-9][0-9]';</t>
  </si>
  <si>
    <t>MU (mayor usado MU-451): genera MU-452 y MU-453 (vía SP). Re-validado con la regla nueva.</t>
  </si>
  <si>
    <t>E4-05</t>
  </si>
  <si>
    <t>Consecutivos - usado se elimina</t>
  </si>
  <si>
    <t>MU-026 y MU-027 disponibles</t>
  </si>
  <si>
    <t>Crear un artículo con MU-026; Consultar MU.</t>
  </si>
  <si>
    <t>Solo aparece MU-027 y MU-026 ya no está en la tabla.</t>
  </si>
  <si>
    <t>SELECT * FROM INTERNAL_REFERENCE_CONSECUTIVES WHERE CODE = 'MU'; -- solo 27</t>
  </si>
  <si>
    <t>Artículo MU-452 creado: Consultar MU deja solo MU-453; 452 eliminado de la tabla.</t>
  </si>
  <si>
    <t>E4-06</t>
  </si>
  <si>
    <t>Consecutivos - completar hasta N</t>
  </si>
  <si>
    <t>MU-027 disponible; mayor usado MU-026</t>
  </si>
  <si>
    <t>Cantidad 4, Generar.</t>
  </si>
  <si>
    <t>Crea MU-028 a MU-030; quedan 4 disponibles (027 con Generado ahora = No).</t>
  </si>
  <si>
    <t>Cantidad 4: crea 454-456; 453 con Generado ahora = No.</t>
  </si>
  <si>
    <t>E4-07</t>
  </si>
  <si>
    <t>Consecutivos - ya hay suficientes</t>
  </si>
  <si>
    <t>4 disponibles</t>
  </si>
  <si>
    <t>No genera; mensaje informativo; muestra los 4 disponibles.</t>
  </si>
  <si>
    <t>Cantidad 3 con 4 disponibles: no genera (vía SP; mensaje de pantalla no verificado).</t>
  </si>
  <si>
    <t>E4-08</t>
  </si>
  <si>
    <t>Consecutivos - minúsculas y prefijos</t>
  </si>
  <si>
    <t>Consultar 'mu'; generar para MUX.</t>
  </si>
  <si>
    <t>'mu' = MU; MUX no se mezcla con MU.</t>
  </si>
  <si>
    <t>'mu' = MU; MUX genera MUX-001 sin mezclarse con MU.</t>
  </si>
  <si>
    <t>E4-09</t>
  </si>
  <si>
    <t>Consecutivos - complementos</t>
  </si>
  <si>
    <t>MU-031 disponible</t>
  </si>
  <si>
    <t>Crear un artículo con MU-031-2 (o MU-031-X); Consultar MU.</t>
  </si>
  <si>
    <t>MU-031 se elimina de los disponibles.</t>
  </si>
  <si>
    <t>Artículo MU-453-2: MU-453 sale de los disponibles.</t>
  </si>
  <si>
    <t>E4-10</t>
  </si>
  <si>
    <t>Consecutivos - referencias de 2 dígitos</t>
  </si>
  <si>
    <t>Artículos existentes MU-40 o MU-40-1 (mayor del código)</t>
  </si>
  <si>
    <t>Cantidad 1 sin disponibles, Generar.</t>
  </si>
  <si>
    <t>Genera MU-041 (MU-40 = 40; cualquier complemento después del número).</t>
  </si>
  <si>
    <t>SELECT INTERNAL_REFERENCE FROM items WHERE INTERNAL_REFERENCE LIKE 'MU-%';</t>
  </si>
  <si>
    <t>Código ZV con artículo ZV-40-1: genera ZV-041.</t>
  </si>
  <si>
    <t>E4-11</t>
  </si>
  <si>
    <t>Consecutivos - 1 dígito</t>
  </si>
  <si>
    <t>Único artículo del código: ZY-5</t>
  </si>
  <si>
    <t>Cantidad 1, Generar ZY.</t>
  </si>
  <si>
    <t>Genera ZY-006 (ZY-5 = 005).</t>
  </si>
  <si>
    <t>ZY-5: genera ZY-006.</t>
  </si>
  <si>
    <t>E4-12</t>
  </si>
  <si>
    <t>Consecutivos - referencias que no cumplen</t>
  </si>
  <si>
    <t>Único artículo del código: ZX-25X (complemento pegado)</t>
  </si>
  <si>
    <t>Consultar y Generar 1 para ZX.</t>
  </si>
  <si>
    <t>Regla nueva: ZX-25X cuenta como 25 y el siguiente es ZX-026. Las referencias sin número después del guion (TH-XXXL) aparecen como no conformes con su motivo.</t>
  </si>
  <si>
    <t>Regla aprobada el 24/10: complemento pegado cuenta (CP-59T = 59, ZX-25X = 25). TH: 26 no conformes con motivo "Después del guion no hay un número".</t>
  </si>
  <si>
    <t>E4-13</t>
  </si>
  <si>
    <t>C6</t>
  </si>
  <si>
    <t>Consecutivos - concurrencia</t>
  </si>
  <si>
    <t>Dos usuarios</t>
  </si>
  <si>
    <t>Dos sesiones generan para el mismo código al mismo tiempo.</t>
  </si>
  <si>
    <t>Sin consecutivos duplicados (PK código+número).</t>
  </si>
  <si>
    <t>SELECT CODE, CONSECUTIVE, COUNT(*) FROM INTERNAL_REFERENCE_CONSECUTIVES GROUP BY CODE, CONSECUTIVE HAVING COUNT(*) &gt; 1; -- 0 filas</t>
  </si>
  <si>
    <t>3 sesiones simultáneas × 150 generaciones + consultas del mismo código: 0 errores, 0 duplicados, sin bloqueos mutuos; quedaron exactamente 150.</t>
  </si>
  <si>
    <t>E4-14</t>
  </si>
  <si>
    <t>C4</t>
  </si>
  <si>
    <t>Pruebas unitarias</t>
  </si>
  <si>
    <t>Desarrollo</t>
  </si>
  <si>
    <t>dotnet test sobre Aldebaran.Application.Services.Tests.</t>
  </si>
  <si>
    <t>Todas en verde.</t>
  </si>
  <si>
    <t>dotnet test: 44/44 OK (reglas nuevas: 5 caracteres, Ñ, espacio interno, signos, formato 3/4 dígitos, cantidad 1–1000).</t>
  </si>
  <si>
    <t>E4-15</t>
  </si>
  <si>
    <t>Consecutivos - 4 dígitos (VA)</t>
  </si>
  <si>
    <t>Mayor usado VA-1226 (incluye VA-1015-1 y VA-984SURA)</t>
  </si>
  <si>
    <t>Generar 3 para VA.</t>
  </si>
  <si>
    <t>VA-1227, VA-1228, VA-1229; VA sin no conformes.</t>
  </si>
  <si>
    <t>SELECT MAX(CONSECUTIVE) FROM dbo.FN_INTERNAL_REFERENCE_USED_CONSECUTIVES('VA'); -- 1226</t>
  </si>
  <si>
    <t>Pantalla P13/P14 OK.</t>
  </si>
  <si>
    <t>E4-16</t>
  </si>
  <si>
    <t>Consecutivos - código con espacio</t>
  </si>
  <si>
    <t>Mayor usado PM VA-825</t>
  </si>
  <si>
    <t>Generar 2 para "pm va".</t>
  </si>
  <si>
    <t>PM VA-826 y PM VA-827.</t>
  </si>
  <si>
    <t>Pantalla P15 OK.</t>
  </si>
  <si>
    <t>E4-17</t>
  </si>
  <si>
    <t>Referencias con complemento con guion (VA-1015-1), pegado (CP-59T, VA-984SURA) y con espacio (MU-1 ROJO).</t>
  </si>
  <si>
    <t>Todas cuentan: 1015, 59, 984, 1.</t>
  </si>
  <si>
    <t>P07 casos R07–R10, R15</t>
  </si>
  <si>
    <t>P07 OK.</t>
  </si>
  <si>
    <t>E4-18</t>
  </si>
  <si>
    <t>Consecutivos - no pertenecen al código</t>
  </si>
  <si>
    <t>QZX-99, QZ 77, QZ77 frente al código QZ.</t>
  </si>
  <si>
    <t>No cuentan para QZ.</t>
  </si>
  <si>
    <t>P07 casos R11–R13</t>
  </si>
  <si>
    <t>E4-19</t>
  </si>
  <si>
    <t>Consecutivos - no conformes</t>
  </si>
  <si>
    <t>QZ-, QZ-ABC, QZ--5, QZ-12345.</t>
  </si>
  <si>
    <t>No cuentan; se listan con su motivo.</t>
  </si>
  <si>
    <t>P07 casos R04–R06, R16–R18</t>
  </si>
  <si>
    <t>E4-20</t>
  </si>
  <si>
    <t>Consecutivos - paso de 999 a 1000</t>
  </si>
  <si>
    <t>Usado 998</t>
  </si>
  <si>
    <t>Generar 3.</t>
  </si>
  <si>
    <t>999, 1000, 1001 (4 dígitos sin ceros).</t>
  </si>
  <si>
    <t>P07 caso D01</t>
  </si>
  <si>
    <t>E4-21</t>
  </si>
  <si>
    <t>Consecutivos - tope 9999</t>
  </si>
  <si>
    <t>Usado 9998</t>
  </si>
  <si>
    <t>Generar 3; luego 1.</t>
  </si>
  <si>
    <t>Rechaza: "llega como máximo a …-9999: solo se pueden generar 1 consecutivo(s) más." sin generar; con 1 genera …-9999.</t>
  </si>
  <si>
    <t>P08 caso T01</t>
  </si>
  <si>
    <t>P08 y pantalla P19/P20 OK.</t>
  </si>
  <si>
    <t>E4-22</t>
  </si>
  <si>
    <t>Consecutivos - artículo fuera de lo sugerido</t>
  </si>
  <si>
    <t>Sugerencias 001–005</t>
  </si>
  <si>
    <t>Crear artículos con QY-002, QY-003-ROJO, QY4, QY-050, QY-5, QY-ESPECIAL; Consultar/Generar.</t>
  </si>
  <si>
    <t>002, 003 y 005 salen; QY4 no cuenta; tras QY-050 la siguiente es 051; QY-ESPECIAL no afecta.</t>
  </si>
  <si>
    <t>P07 casos G06–G12</t>
  </si>
  <si>
    <t>P07 OK. Comportamiento documentado en el manual (sugerencias).</t>
  </si>
  <si>
    <t>E4-23</t>
  </si>
  <si>
    <t>C3</t>
  </si>
  <si>
    <t>Consecutivos - validaciones en BD</t>
  </si>
  <si>
    <t>SP con código vacío, NULL, 6 caracteres, guion, _, %, dos espacios, punto; cantidad 0, -1, 1001, NULL.</t>
  </si>
  <si>
    <t>Cada uno rechaza con su mensaje y no crea códigos.</t>
  </si>
  <si>
    <t>P08 casos V01–V13</t>
  </si>
  <si>
    <t>P08 OK.</t>
  </si>
  <si>
    <t>E4-24</t>
  </si>
  <si>
    <t>Consecutivos - aviso de sugerencias</t>
  </si>
  <si>
    <t>Abrir la pantalla.</t>
  </si>
  <si>
    <t>Aviso "Los consecutivos son sugerencias".</t>
  </si>
  <si>
    <t>Pantalla P01 OK.</t>
  </si>
  <si>
    <t>Área</t>
  </si>
  <si>
    <t>R-01</t>
  </si>
  <si>
    <t>Logs existentes de OC, pedidos y reservas</t>
  </si>
  <si>
    <t>Abrir cada log con rango amplio</t>
  </si>
  <si>
    <t>Cargan sin errores; totales = BD</t>
  </si>
  <si>
    <t>Logs de OC, pedidos, reservas, despachos/traslados, general, Track e inventario cargan.</t>
  </si>
  <si>
    <t>R-02</t>
  </si>
  <si>
    <t>Tablero de notificaciones y alarmas</t>
  </si>
  <si>
    <t>Abrir todas las pestañas y marcar visualizado</t>
  </si>
  <si>
    <t>Cargan; marcar visualizado funciona y queda en el log</t>
  </si>
  <si>
    <t>Tablero carga; pestañas revisadas. Marcar visualizado no probado.</t>
  </si>
  <si>
    <t>R-03</t>
  </si>
  <si>
    <t>Reporte de cantidades mínimas y correo con Excel</t>
  </si>
  <si>
    <t>Generar el reporte y el correo</t>
  </si>
  <si>
    <t>Datos = BD; Excel con marca $ BOMBA</t>
  </si>
  <si>
    <t>Correo de mínimos: Andrés en local (sin SMTP en la nube).</t>
  </si>
  <si>
    <t>R-04</t>
  </si>
  <si>
    <t>Pedido: crear / modificar / cancelar / cerrar</t>
  </si>
  <si>
    <t>Flujo completo</t>
  </si>
  <si>
    <t>Sin errores; queda en Track y logs</t>
  </si>
  <si>
    <t>Pedido creado (39475), modificado, cancelado por solicitud aprobada; cierre de 38653; Track y logs con Pedido especial.</t>
  </si>
  <si>
    <t>R-05</t>
  </si>
  <si>
    <t>OC: crear / modificar / cancelar / confirmar</t>
  </si>
  <si>
    <t>Sin errores; alarmas y log de ajustes correctos</t>
  </si>
  <si>
    <t>OC creada (0000000741), modificada (0000000526), cancelada por solicitud aprobada y confirmada con cantidad recibida.</t>
  </si>
  <si>
    <t>R-06</t>
  </si>
  <si>
    <t>Reserva: crear / modificar / cancelar / pasar a pedido</t>
  </si>
  <si>
    <t>Sin errores; Track y logs</t>
  </si>
  <si>
    <t>Reserva 93 creada, modificada y pasada a pedido; reserva 94 cancelada.</t>
  </si>
  <si>
    <t>R-07</t>
  </si>
  <si>
    <t>Permisos</t>
  </si>
  <si>
    <t>Usuario con un solo rol por pantalla nueva</t>
  </si>
  <si>
    <t>Ve solo lo que su rol permite; tildes de roles correctas</t>
  </si>
  <si>
    <t>Usuario solo con Consulta de pedidos y Log de pedidos: menú solo Log de pedidos; 7 rutas de otros logs y Consecutivos → Unauthorized; 3 rutas de su rol permitidas.</t>
  </si>
  <si>
    <t>Dato</t>
  </si>
  <si>
    <t>Detalle</t>
  </si>
  <si>
    <t>Acción al cierre (T30)</t>
  </si>
  <si>
    <t>Precio bomba</t>
  </si>
  <si>
    <t>HO-13 (ITEM_ID 2554, ancho embalaje 29, original 28) y ASTON-STY (2047)</t>
  </si>
  <si>
    <t>Restaurar al cierre</t>
  </si>
  <si>
    <t>Remitente SMTP pruebas</t>
  </si>
  <si>
    <t>'Catalogos Promocionales T2'</t>
  </si>
  <si>
    <t>Devolver a 'Catalogos Promocionales' (clave la carga Andrés)</t>
  </si>
  <si>
    <t>Conexión autómata / FTP / patrón</t>
  </si>
  <si>
    <t>SERVIDOR-PRUEBA-T2, ftp.prueba-t2.invalid, PATRON PRUEBA T2 NO USAR (inactivos)</t>
  </si>
  <si>
    <t>Eliminar o dejar inactivos</t>
  </si>
  <si>
    <t>Pedidos y reservas</t>
  </si>
  <si>
    <t>Reserva 92; pedidos 39469, 39463 (cancelado), 39175 (cerrado), 39471 (cancelado, VA-196 Azul) y los de T24</t>
  </si>
  <si>
    <t>Documentar en el cierre</t>
  </si>
  <si>
    <t>Alarmas / OC / tolerancias</t>
  </si>
  <si>
    <t>Alarmas 825 y 826; OC 752 confirmada; ajuste OC 742 devuelto; tolerancia 351–400 en 0,06</t>
  </si>
  <si>
    <t>Restaurar tolerancia si aplica</t>
  </si>
  <si>
    <t>Cliente para correos</t>
  </si>
  <si>
    <t>Cédula 79872389 (de Andrés)</t>
  </si>
  <si>
    <t>Pedidos T24</t>
  </si>
  <si>
    <t>39471 cancelado; 39472 No; 39473 creado Sí y editado a No; 39474 Sí desde reserva 92 (reserva en estado 11)</t>
  </si>
  <si>
    <t>Artículos E4 (copia de VA-196)</t>
  </si>
  <si>
    <t>ITEM_ID 13484 MU-452, 13485 ZY-5, 13486 ZX-25X y los de MU-453-2 y ZV-40-1 (nombre 'PRUEBA E4 ...')</t>
  </si>
  <si>
    <t>Eliminar al cierre</t>
  </si>
  <si>
    <t>Consecutivos E4</t>
  </si>
  <si>
    <t>ZZ-001..003; MU-454..456; MUX-001; ZY-006; ZX-001; ZV-041 (y códigos en INTERNAL_REFERENCE_CODES)</t>
  </si>
  <si>
    <t>Respaldo script 18</t>
  </si>
  <si>
    <t>8 filas en RQM_LOGS_OBJECT_BACKUP de los SP de reportes de pedidos (definición original)</t>
  </si>
  <si>
    <t>Conservar (lo usa la reversa)</t>
  </si>
  <si>
    <t>Pedidos especiales (solo copia local de Claude)</t>
  </si>
  <si>
    <t>En la copia de la BD restaurada en la nube se marcaron como especiales los pedidos con CUSTOMER_ORDER_ID terminado en 3 (3.949). No afecta la BD de pruebas del equipo de Andrés.</t>
  </si>
  <si>
    <t>Casos</t>
  </si>
  <si>
    <t>Corrección</t>
  </si>
  <si>
    <t>No aplica</t>
  </si>
  <si>
    <t>Sin ejecutar</t>
  </si>
  <si>
    <t>% OK</t>
  </si>
  <si>
    <t>Total</t>
  </si>
  <si>
    <t>Regresión: casos</t>
  </si>
  <si>
    <t>Regresión: OK</t>
  </si>
  <si>
    <t>Prueba ADC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</si>
</sst>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 applyAlignment="1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1" xfId="0" applyFont="1" applyBorder="1" applyAlignment="1"/>
    <xf numFmtId="164" fontId="5" fillId="0" borderId="1" xfId="0" applyNumberFormat="1" applyFont="1" applyBorder="1" applyAlignment="1"/>
    <xf numFmtId="0" fontId="6" fillId="0" borderId="1" xfId="0" applyFont="1" applyBorder="1" applyAlignment="1"/>
    <xf numFmtId="164" fontId="6" fillId="0" borderId="1" xfId="0" applyNumberFormat="1" applyFont="1" applyBorder="1" applyAlignment="1"/>
  </cellXfs>
  <cellStyles count="1">
    <cellStyle name="Normal" xfId="0" builtinId="0"/>
  </cellStyles>
  <dxfs count="5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zoomScaleNormal="100" workbookViewId="0"/>
  </sheetViews>
  <sheetFormatPr baseColWidth="10" defaultColWidth="8.7109375" defaultRowHeight="15" x14ac:dyDescent="0.25"/>
  <cols>
    <col min="1" max="1" width="150" style="1" customWidth="1"/>
  </cols>
  <sheetData>
    <row r="1" spans="1:1" ht="17.45" customHeight="1" x14ac:dyDescent="0.25">
      <c r="A1" s="2" t="s">
        <v>0</v>
      </c>
    </row>
    <row r="2" spans="1:1" ht="15" customHeight="1" x14ac:dyDescent="0.25">
      <c r="A2" s="3" t="s">
        <v>1</v>
      </c>
    </row>
    <row r="3" spans="1:1" ht="15" customHeight="1" x14ac:dyDescent="0.25">
      <c r="A3" s="3"/>
    </row>
    <row r="4" spans="1:1" ht="15" customHeight="1" x14ac:dyDescent="0.25">
      <c r="A4" s="4" t="s">
        <v>2</v>
      </c>
    </row>
    <row r="5" spans="1:1" ht="15" customHeight="1" x14ac:dyDescent="0.25">
      <c r="A5" s="3" t="s">
        <v>3</v>
      </c>
    </row>
    <row r="6" spans="1:1" ht="15" customHeight="1" x14ac:dyDescent="0.25">
      <c r="A6" s="3" t="s">
        <v>4</v>
      </c>
    </row>
    <row r="7" spans="1:1" ht="15" customHeight="1" x14ac:dyDescent="0.25">
      <c r="A7" s="3" t="s">
        <v>5</v>
      </c>
    </row>
    <row r="8" spans="1:1" ht="15" customHeight="1" x14ac:dyDescent="0.25">
      <c r="A8" s="3" t="s">
        <v>6</v>
      </c>
    </row>
    <row r="9" spans="1:1" ht="15" customHeight="1" x14ac:dyDescent="0.25">
      <c r="A9" s="3" t="s">
        <v>7</v>
      </c>
    </row>
    <row r="10" spans="1:1" ht="15" customHeight="1" x14ac:dyDescent="0.25">
      <c r="A10" s="3"/>
    </row>
    <row r="11" spans="1:1" ht="15" customHeight="1" x14ac:dyDescent="0.25">
      <c r="A11" s="3" t="s">
        <v>8</v>
      </c>
    </row>
    <row r="12" spans="1:1" ht="15" customHeight="1" x14ac:dyDescent="0.25">
      <c r="A12" s="3" t="s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N75"/>
  <sheetViews>
    <sheetView tabSelected="1" topLeftCell="B1" zoomScale="85" zoomScaleNormal="85" workbookViewId="0">
      <pane ySplit="1" topLeftCell="A2" activePane="bottomLeft" state="frozen"/>
      <selection pane="bottomLeft" activeCell="K65" sqref="K65:K75"/>
    </sheetView>
  </sheetViews>
  <sheetFormatPr baseColWidth="10" defaultColWidth="8.7109375" defaultRowHeight="15" x14ac:dyDescent="0.25"/>
  <cols>
    <col min="1" max="1" width="9" style="1" customWidth="1"/>
    <col min="2" max="2" width="24" style="1" customWidth="1"/>
    <col min="3" max="3" width="10" style="1" customWidth="1"/>
    <col min="4" max="4" width="32" style="1" customWidth="1"/>
    <col min="5" max="5" width="18" style="1" customWidth="1"/>
    <col min="6" max="6" width="26" style="1" customWidth="1"/>
    <col min="7" max="8" width="50" style="1" customWidth="1"/>
    <col min="9" max="9" width="42" style="1" customWidth="1"/>
    <col min="10" max="11" width="13" style="1" customWidth="1"/>
    <col min="12" max="12" width="36" style="1" customWidth="1"/>
    <col min="13" max="13" width="14" style="1" customWidth="1"/>
    <col min="14" max="14" width="12" style="1" customWidth="1"/>
  </cols>
  <sheetData>
    <row r="1" spans="1:14" ht="15" customHeight="1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  <c r="K1" s="5" t="s">
        <v>606</v>
      </c>
      <c r="L1" s="5" t="s">
        <v>20</v>
      </c>
      <c r="M1" s="5" t="s">
        <v>21</v>
      </c>
      <c r="N1" s="5" t="s">
        <v>22</v>
      </c>
    </row>
    <row r="2" spans="1:14" ht="57.4" hidden="1" customHeight="1" x14ac:dyDescent="0.25">
      <c r="A2" s="6" t="s">
        <v>23</v>
      </c>
      <c r="B2" s="6" t="s">
        <v>24</v>
      </c>
      <c r="C2" s="6" t="s">
        <v>25</v>
      </c>
      <c r="D2" s="6" t="s">
        <v>26</v>
      </c>
      <c r="E2" s="6" t="s">
        <v>27</v>
      </c>
      <c r="F2" s="6" t="s">
        <v>28</v>
      </c>
      <c r="G2" s="6" t="s">
        <v>29</v>
      </c>
      <c r="H2" s="6" t="s">
        <v>30</v>
      </c>
      <c r="I2" s="6" t="s">
        <v>31</v>
      </c>
      <c r="J2" s="7" t="s">
        <v>32</v>
      </c>
      <c r="K2" s="7" t="s">
        <v>32</v>
      </c>
      <c r="L2" s="7" t="s">
        <v>33</v>
      </c>
      <c r="M2" s="7" t="s">
        <v>34</v>
      </c>
      <c r="N2" s="7" t="s">
        <v>35</v>
      </c>
    </row>
    <row r="3" spans="1:14" ht="35.1" hidden="1" customHeight="1" x14ac:dyDescent="0.25">
      <c r="A3" s="6" t="s">
        <v>36</v>
      </c>
      <c r="B3" s="6" t="s">
        <v>24</v>
      </c>
      <c r="C3" s="6" t="s">
        <v>25</v>
      </c>
      <c r="D3" s="6" t="s">
        <v>37</v>
      </c>
      <c r="E3" s="6" t="s">
        <v>38</v>
      </c>
      <c r="F3" s="6" t="s">
        <v>39</v>
      </c>
      <c r="G3" s="6" t="s">
        <v>40</v>
      </c>
      <c r="H3" s="6" t="s">
        <v>41</v>
      </c>
      <c r="I3" s="6" t="s">
        <v>42</v>
      </c>
      <c r="J3" s="7" t="s">
        <v>32</v>
      </c>
      <c r="K3" s="7" t="s">
        <v>32</v>
      </c>
      <c r="L3" s="7" t="s">
        <v>43</v>
      </c>
      <c r="M3" s="7" t="s">
        <v>34</v>
      </c>
      <c r="N3" s="7" t="s">
        <v>35</v>
      </c>
    </row>
    <row r="4" spans="1:14" ht="46.35" hidden="1" customHeight="1" x14ac:dyDescent="0.25">
      <c r="A4" s="6" t="s">
        <v>44</v>
      </c>
      <c r="B4" s="6" t="s">
        <v>24</v>
      </c>
      <c r="C4" s="6" t="s">
        <v>45</v>
      </c>
      <c r="D4" s="6" t="s">
        <v>46</v>
      </c>
      <c r="E4" s="6" t="s">
        <v>38</v>
      </c>
      <c r="F4" s="6" t="s">
        <v>47</v>
      </c>
      <c r="G4" s="6" t="s">
        <v>48</v>
      </c>
      <c r="H4" s="6" t="s">
        <v>49</v>
      </c>
      <c r="I4" s="6" t="s">
        <v>50</v>
      </c>
      <c r="J4" s="7" t="s">
        <v>32</v>
      </c>
      <c r="K4" s="7" t="s">
        <v>32</v>
      </c>
      <c r="L4" s="7" t="s">
        <v>51</v>
      </c>
      <c r="M4" s="7" t="s">
        <v>34</v>
      </c>
      <c r="N4" s="7" t="s">
        <v>35</v>
      </c>
    </row>
    <row r="5" spans="1:14" ht="23.85" hidden="1" customHeight="1" x14ac:dyDescent="0.25">
      <c r="A5" s="6" t="s">
        <v>52</v>
      </c>
      <c r="B5" s="6" t="s">
        <v>24</v>
      </c>
      <c r="C5" s="6" t="s">
        <v>45</v>
      </c>
      <c r="D5" s="6" t="s">
        <v>53</v>
      </c>
      <c r="E5" s="6" t="s">
        <v>27</v>
      </c>
      <c r="F5" s="6" t="s">
        <v>54</v>
      </c>
      <c r="G5" s="6" t="s">
        <v>55</v>
      </c>
      <c r="H5" s="6" t="s">
        <v>56</v>
      </c>
      <c r="I5" s="6" t="s">
        <v>57</v>
      </c>
      <c r="J5" s="7" t="s">
        <v>32</v>
      </c>
      <c r="K5" s="7" t="s">
        <v>32</v>
      </c>
      <c r="L5" s="7" t="s">
        <v>58</v>
      </c>
      <c r="M5" s="7" t="s">
        <v>34</v>
      </c>
      <c r="N5" s="7" t="s">
        <v>35</v>
      </c>
    </row>
    <row r="6" spans="1:14" ht="57.4" hidden="1" customHeight="1" x14ac:dyDescent="0.25">
      <c r="A6" s="6" t="s">
        <v>59</v>
      </c>
      <c r="B6" s="6" t="s">
        <v>24</v>
      </c>
      <c r="C6" s="6" t="s">
        <v>60</v>
      </c>
      <c r="D6" s="6" t="s">
        <v>61</v>
      </c>
      <c r="E6" s="6" t="s">
        <v>38</v>
      </c>
      <c r="F6" s="6" t="s">
        <v>47</v>
      </c>
      <c r="G6" s="6" t="s">
        <v>62</v>
      </c>
      <c r="H6" s="6" t="s">
        <v>63</v>
      </c>
      <c r="I6" s="6" t="s">
        <v>64</v>
      </c>
      <c r="J6" s="7" t="s">
        <v>32</v>
      </c>
      <c r="K6" s="7" t="s">
        <v>32</v>
      </c>
      <c r="L6" s="7" t="s">
        <v>65</v>
      </c>
      <c r="M6" s="7" t="s">
        <v>34</v>
      </c>
      <c r="N6" s="7" t="s">
        <v>35</v>
      </c>
    </row>
    <row r="7" spans="1:14" ht="23.85" hidden="1" customHeight="1" x14ac:dyDescent="0.25">
      <c r="A7" s="6" t="s">
        <v>66</v>
      </c>
      <c r="B7" s="6" t="s">
        <v>24</v>
      </c>
      <c r="C7" s="6" t="s">
        <v>67</v>
      </c>
      <c r="D7" s="6" t="s">
        <v>68</v>
      </c>
      <c r="E7" s="6" t="s">
        <v>27</v>
      </c>
      <c r="F7" s="6" t="s">
        <v>69</v>
      </c>
      <c r="G7" s="6" t="s">
        <v>70</v>
      </c>
      <c r="H7" s="6" t="s">
        <v>71</v>
      </c>
      <c r="I7" s="6" t="s">
        <v>72</v>
      </c>
      <c r="J7" s="7" t="s">
        <v>32</v>
      </c>
      <c r="K7" s="7" t="s">
        <v>32</v>
      </c>
      <c r="L7" s="7" t="s">
        <v>73</v>
      </c>
      <c r="M7" s="7" t="s">
        <v>34</v>
      </c>
      <c r="N7" s="7" t="s">
        <v>35</v>
      </c>
    </row>
    <row r="8" spans="1:14" ht="46.35" hidden="1" customHeight="1" x14ac:dyDescent="0.25">
      <c r="A8" s="6" t="s">
        <v>74</v>
      </c>
      <c r="B8" s="6" t="s">
        <v>24</v>
      </c>
      <c r="C8" s="6" t="s">
        <v>75</v>
      </c>
      <c r="D8" s="6" t="s">
        <v>76</v>
      </c>
      <c r="E8" s="6" t="s">
        <v>38</v>
      </c>
      <c r="F8" s="6" t="s">
        <v>77</v>
      </c>
      <c r="G8" s="6" t="s">
        <v>78</v>
      </c>
      <c r="H8" s="6" t="s">
        <v>79</v>
      </c>
      <c r="I8" s="6" t="s">
        <v>80</v>
      </c>
      <c r="J8" s="7" t="s">
        <v>32</v>
      </c>
      <c r="K8" s="7" t="s">
        <v>32</v>
      </c>
      <c r="L8" s="7" t="s">
        <v>81</v>
      </c>
      <c r="M8" s="7" t="s">
        <v>34</v>
      </c>
      <c r="N8" s="7" t="s">
        <v>35</v>
      </c>
    </row>
    <row r="9" spans="1:14" ht="44.25" hidden="1" customHeight="1" x14ac:dyDescent="0.25">
      <c r="A9" s="6" t="s">
        <v>82</v>
      </c>
      <c r="B9" s="6" t="s">
        <v>24</v>
      </c>
      <c r="C9" s="6" t="s">
        <v>75</v>
      </c>
      <c r="D9" s="6" t="s">
        <v>83</v>
      </c>
      <c r="E9" s="6" t="s">
        <v>38</v>
      </c>
      <c r="F9" s="6" t="s">
        <v>84</v>
      </c>
      <c r="G9" s="6" t="s">
        <v>85</v>
      </c>
      <c r="H9" s="6" t="s">
        <v>86</v>
      </c>
      <c r="I9" s="6" t="s">
        <v>87</v>
      </c>
      <c r="J9" s="7" t="s">
        <v>32</v>
      </c>
      <c r="K9" s="7" t="s">
        <v>32</v>
      </c>
      <c r="L9" s="7" t="s">
        <v>88</v>
      </c>
      <c r="M9" s="7" t="s">
        <v>34</v>
      </c>
      <c r="N9" s="7" t="s">
        <v>35</v>
      </c>
    </row>
    <row r="10" spans="1:14" ht="23.85" hidden="1" customHeight="1" x14ac:dyDescent="0.25">
      <c r="A10" s="6" t="s">
        <v>89</v>
      </c>
      <c r="B10" s="6" t="s">
        <v>24</v>
      </c>
      <c r="C10" s="6" t="s">
        <v>90</v>
      </c>
      <c r="D10" s="6" t="s">
        <v>91</v>
      </c>
      <c r="E10" s="6" t="s">
        <v>27</v>
      </c>
      <c r="F10" s="6" t="s">
        <v>92</v>
      </c>
      <c r="G10" s="6" t="s">
        <v>93</v>
      </c>
      <c r="H10" s="6" t="s">
        <v>94</v>
      </c>
      <c r="I10" s="6" t="s">
        <v>95</v>
      </c>
      <c r="J10" s="7" t="s">
        <v>32</v>
      </c>
      <c r="K10" s="7" t="s">
        <v>32</v>
      </c>
      <c r="L10" s="7" t="s">
        <v>96</v>
      </c>
      <c r="M10" s="7" t="s">
        <v>34</v>
      </c>
      <c r="N10" s="7" t="s">
        <v>35</v>
      </c>
    </row>
    <row r="11" spans="1:14" ht="23.85" hidden="1" customHeight="1" x14ac:dyDescent="0.25">
      <c r="A11" s="6" t="s">
        <v>97</v>
      </c>
      <c r="B11" s="6" t="s">
        <v>24</v>
      </c>
      <c r="C11" s="6" t="s">
        <v>98</v>
      </c>
      <c r="D11" s="6" t="s">
        <v>99</v>
      </c>
      <c r="E11" s="6" t="s">
        <v>100</v>
      </c>
      <c r="F11" s="6" t="s">
        <v>101</v>
      </c>
      <c r="G11" s="6" t="s">
        <v>102</v>
      </c>
      <c r="H11" s="6" t="s">
        <v>103</v>
      </c>
      <c r="I11" s="6" t="s">
        <v>104</v>
      </c>
      <c r="J11" s="7" t="s">
        <v>32</v>
      </c>
      <c r="K11" s="7" t="s">
        <v>32</v>
      </c>
      <c r="L11" s="7" t="s">
        <v>105</v>
      </c>
      <c r="M11" s="7" t="s">
        <v>34</v>
      </c>
      <c r="N11" s="7" t="s">
        <v>35</v>
      </c>
    </row>
    <row r="12" spans="1:14" ht="60.75" hidden="1" customHeight="1" x14ac:dyDescent="0.25">
      <c r="A12" s="6" t="s">
        <v>106</v>
      </c>
      <c r="B12" s="6" t="s">
        <v>24</v>
      </c>
      <c r="C12" s="6" t="s">
        <v>98</v>
      </c>
      <c r="D12" s="6" t="s">
        <v>107</v>
      </c>
      <c r="E12" s="6" t="s">
        <v>108</v>
      </c>
      <c r="F12" s="6" t="s">
        <v>47</v>
      </c>
      <c r="G12" s="6" t="s">
        <v>109</v>
      </c>
      <c r="H12" s="6" t="s">
        <v>110</v>
      </c>
      <c r="I12" s="6" t="s">
        <v>111</v>
      </c>
      <c r="J12" s="7" t="s">
        <v>32</v>
      </c>
      <c r="K12" s="7" t="s">
        <v>32</v>
      </c>
      <c r="L12" s="7" t="s">
        <v>112</v>
      </c>
      <c r="M12" s="7" t="s">
        <v>34</v>
      </c>
      <c r="N12" s="7" t="s">
        <v>35</v>
      </c>
    </row>
    <row r="13" spans="1:14" ht="35.1" hidden="1" customHeight="1" x14ac:dyDescent="0.25">
      <c r="A13" s="6" t="s">
        <v>113</v>
      </c>
      <c r="B13" s="6" t="s">
        <v>24</v>
      </c>
      <c r="C13" s="6" t="s">
        <v>114</v>
      </c>
      <c r="D13" s="6" t="s">
        <v>115</v>
      </c>
      <c r="E13" s="6" t="s">
        <v>116</v>
      </c>
      <c r="F13" s="6" t="s">
        <v>117</v>
      </c>
      <c r="G13" s="6" t="s">
        <v>118</v>
      </c>
      <c r="H13" s="6" t="s">
        <v>119</v>
      </c>
      <c r="I13" s="6" t="s">
        <v>120</v>
      </c>
      <c r="J13" s="7" t="s">
        <v>32</v>
      </c>
      <c r="K13" s="7" t="s">
        <v>32</v>
      </c>
      <c r="L13" s="7" t="s">
        <v>121</v>
      </c>
      <c r="M13" s="7" t="s">
        <v>34</v>
      </c>
      <c r="N13" s="7" t="s">
        <v>35</v>
      </c>
    </row>
    <row r="14" spans="1:14" ht="35.1" hidden="1" customHeight="1" x14ac:dyDescent="0.25">
      <c r="A14" s="6" t="s">
        <v>122</v>
      </c>
      <c r="B14" s="6" t="s">
        <v>24</v>
      </c>
      <c r="C14" s="6" t="s">
        <v>123</v>
      </c>
      <c r="D14" s="6" t="s">
        <v>124</v>
      </c>
      <c r="E14" s="6" t="s">
        <v>116</v>
      </c>
      <c r="F14" s="6" t="s">
        <v>125</v>
      </c>
      <c r="G14" s="6" t="s">
        <v>126</v>
      </c>
      <c r="H14" s="6" t="s">
        <v>127</v>
      </c>
      <c r="I14" s="6" t="s">
        <v>128</v>
      </c>
      <c r="J14" s="7" t="s">
        <v>32</v>
      </c>
      <c r="K14" s="7" t="s">
        <v>32</v>
      </c>
      <c r="L14" s="7" t="s">
        <v>129</v>
      </c>
      <c r="M14" s="7" t="s">
        <v>34</v>
      </c>
      <c r="N14" s="7" t="s">
        <v>35</v>
      </c>
    </row>
    <row r="15" spans="1:14" ht="35.1" hidden="1" customHeight="1" x14ac:dyDescent="0.25">
      <c r="A15" s="6" t="s">
        <v>130</v>
      </c>
      <c r="B15" s="6" t="s">
        <v>131</v>
      </c>
      <c r="C15" s="6" t="s">
        <v>132</v>
      </c>
      <c r="D15" s="6" t="s">
        <v>133</v>
      </c>
      <c r="E15" s="6" t="s">
        <v>38</v>
      </c>
      <c r="F15" s="6" t="s">
        <v>134</v>
      </c>
      <c r="G15" s="6" t="s">
        <v>135</v>
      </c>
      <c r="H15" s="6" t="s">
        <v>136</v>
      </c>
      <c r="I15" s="6" t="s">
        <v>137</v>
      </c>
      <c r="J15" s="7" t="s">
        <v>32</v>
      </c>
      <c r="K15" s="7" t="s">
        <v>32</v>
      </c>
      <c r="L15" s="7" t="s">
        <v>138</v>
      </c>
      <c r="M15" s="7" t="s">
        <v>34</v>
      </c>
      <c r="N15" s="7" t="s">
        <v>35</v>
      </c>
    </row>
    <row r="16" spans="1:14" ht="33" hidden="1" customHeight="1" x14ac:dyDescent="0.25">
      <c r="A16" s="6" t="s">
        <v>139</v>
      </c>
      <c r="B16" s="6" t="s">
        <v>131</v>
      </c>
      <c r="C16" s="6" t="s">
        <v>140</v>
      </c>
      <c r="D16" s="6" t="s">
        <v>141</v>
      </c>
      <c r="E16" s="6" t="s">
        <v>38</v>
      </c>
      <c r="F16" s="6" t="s">
        <v>142</v>
      </c>
      <c r="G16" s="6" t="s">
        <v>143</v>
      </c>
      <c r="H16" s="6" t="s">
        <v>144</v>
      </c>
      <c r="I16" s="6" t="s">
        <v>47</v>
      </c>
      <c r="J16" s="7" t="s">
        <v>32</v>
      </c>
      <c r="K16" s="7" t="s">
        <v>32</v>
      </c>
      <c r="L16" s="7" t="s">
        <v>145</v>
      </c>
      <c r="M16" s="7" t="s">
        <v>34</v>
      </c>
      <c r="N16" s="7" t="s">
        <v>35</v>
      </c>
    </row>
    <row r="17" spans="1:14" ht="34.5" hidden="1" customHeight="1" x14ac:dyDescent="0.25">
      <c r="A17" s="6" t="s">
        <v>146</v>
      </c>
      <c r="B17" s="6" t="s">
        <v>131</v>
      </c>
      <c r="C17" s="6" t="s">
        <v>140</v>
      </c>
      <c r="D17" s="6" t="s">
        <v>147</v>
      </c>
      <c r="E17" s="6" t="s">
        <v>38</v>
      </c>
      <c r="F17" s="6" t="s">
        <v>148</v>
      </c>
      <c r="G17" s="6" t="s">
        <v>149</v>
      </c>
      <c r="H17" s="6" t="s">
        <v>150</v>
      </c>
      <c r="I17" s="6" t="s">
        <v>151</v>
      </c>
      <c r="J17" s="7" t="s">
        <v>32</v>
      </c>
      <c r="K17" s="7" t="s">
        <v>32</v>
      </c>
      <c r="L17" s="7" t="s">
        <v>153</v>
      </c>
      <c r="M17" s="7" t="s">
        <v>34</v>
      </c>
      <c r="N17" s="7" t="s">
        <v>35</v>
      </c>
    </row>
    <row r="18" spans="1:14" ht="35.1" hidden="1" customHeight="1" x14ac:dyDescent="0.25">
      <c r="A18" s="6" t="s">
        <v>154</v>
      </c>
      <c r="B18" s="6" t="s">
        <v>24</v>
      </c>
      <c r="C18" s="6" t="s">
        <v>155</v>
      </c>
      <c r="D18" s="6" t="s">
        <v>156</v>
      </c>
      <c r="E18" s="6" t="s">
        <v>157</v>
      </c>
      <c r="F18" s="6" t="s">
        <v>158</v>
      </c>
      <c r="G18" s="6" t="s">
        <v>159</v>
      </c>
      <c r="H18" s="6" t="s">
        <v>160</v>
      </c>
      <c r="I18" s="6" t="s">
        <v>161</v>
      </c>
      <c r="J18" s="7" t="s">
        <v>32</v>
      </c>
      <c r="K18" s="7" t="s">
        <v>32</v>
      </c>
      <c r="L18" s="7" t="s">
        <v>162</v>
      </c>
      <c r="M18" s="7" t="s">
        <v>34</v>
      </c>
      <c r="N18" s="7" t="s">
        <v>35</v>
      </c>
    </row>
    <row r="19" spans="1:14" ht="35.1" hidden="1" customHeight="1" x14ac:dyDescent="0.25">
      <c r="A19" s="6" t="s">
        <v>163</v>
      </c>
      <c r="B19" s="6" t="s">
        <v>24</v>
      </c>
      <c r="C19" s="6" t="s">
        <v>164</v>
      </c>
      <c r="D19" s="6" t="s">
        <v>165</v>
      </c>
      <c r="E19" s="6" t="s">
        <v>166</v>
      </c>
      <c r="F19" s="6" t="s">
        <v>167</v>
      </c>
      <c r="G19" s="6" t="s">
        <v>168</v>
      </c>
      <c r="H19" s="6" t="s">
        <v>169</v>
      </c>
      <c r="I19" s="6" t="s">
        <v>170</v>
      </c>
      <c r="J19" s="7" t="s">
        <v>32</v>
      </c>
      <c r="K19" s="7" t="s">
        <v>32</v>
      </c>
      <c r="L19" s="7" t="s">
        <v>171</v>
      </c>
      <c r="M19" s="7" t="s">
        <v>34</v>
      </c>
      <c r="N19" s="7" t="s">
        <v>35</v>
      </c>
    </row>
    <row r="20" spans="1:14" ht="35.1" hidden="1" customHeight="1" x14ac:dyDescent="0.25">
      <c r="A20" s="6" t="s">
        <v>172</v>
      </c>
      <c r="B20" s="6" t="s">
        <v>24</v>
      </c>
      <c r="C20" s="6" t="s">
        <v>173</v>
      </c>
      <c r="D20" s="6" t="s">
        <v>174</v>
      </c>
      <c r="E20" s="6" t="s">
        <v>166</v>
      </c>
      <c r="F20" s="6" t="s">
        <v>175</v>
      </c>
      <c r="G20" s="6" t="s">
        <v>176</v>
      </c>
      <c r="H20" s="6" t="s">
        <v>177</v>
      </c>
      <c r="I20" s="6" t="s">
        <v>178</v>
      </c>
      <c r="J20" s="7" t="s">
        <v>32</v>
      </c>
      <c r="K20" s="7" t="s">
        <v>32</v>
      </c>
      <c r="L20" s="7" t="s">
        <v>179</v>
      </c>
      <c r="M20" s="7" t="s">
        <v>34</v>
      </c>
      <c r="N20" s="7" t="s">
        <v>35</v>
      </c>
    </row>
    <row r="21" spans="1:14" ht="23.85" hidden="1" customHeight="1" x14ac:dyDescent="0.25">
      <c r="A21" s="6" t="s">
        <v>180</v>
      </c>
      <c r="B21" s="6" t="s">
        <v>24</v>
      </c>
      <c r="C21" s="6" t="s">
        <v>181</v>
      </c>
      <c r="D21" s="6" t="s">
        <v>182</v>
      </c>
      <c r="E21" s="6" t="s">
        <v>116</v>
      </c>
      <c r="F21" s="6" t="s">
        <v>183</v>
      </c>
      <c r="G21" s="6" t="s">
        <v>184</v>
      </c>
      <c r="H21" s="6" t="s">
        <v>185</v>
      </c>
      <c r="I21" s="6" t="s">
        <v>186</v>
      </c>
      <c r="J21" s="7" t="s">
        <v>32</v>
      </c>
      <c r="K21" s="7" t="s">
        <v>32</v>
      </c>
      <c r="L21" s="7" t="s">
        <v>187</v>
      </c>
      <c r="M21" s="7" t="s">
        <v>34</v>
      </c>
      <c r="N21" s="7" t="s">
        <v>35</v>
      </c>
    </row>
    <row r="22" spans="1:14" ht="35.1" hidden="1" customHeight="1" x14ac:dyDescent="0.25">
      <c r="A22" s="6" t="s">
        <v>188</v>
      </c>
      <c r="B22" s="6" t="s">
        <v>24</v>
      </c>
      <c r="C22" s="6" t="s">
        <v>189</v>
      </c>
      <c r="D22" s="6" t="s">
        <v>190</v>
      </c>
      <c r="E22" s="6" t="s">
        <v>116</v>
      </c>
      <c r="F22" s="6" t="s">
        <v>191</v>
      </c>
      <c r="G22" s="6" t="s">
        <v>192</v>
      </c>
      <c r="H22" s="6" t="s">
        <v>193</v>
      </c>
      <c r="I22" s="6" t="s">
        <v>194</v>
      </c>
      <c r="J22" s="7" t="s">
        <v>32</v>
      </c>
      <c r="K22" s="7" t="s">
        <v>32</v>
      </c>
      <c r="L22" s="7" t="s">
        <v>195</v>
      </c>
      <c r="M22" s="7" t="s">
        <v>34</v>
      </c>
      <c r="N22" s="7" t="s">
        <v>35</v>
      </c>
    </row>
    <row r="23" spans="1:14" ht="35.1" hidden="1" customHeight="1" x14ac:dyDescent="0.25">
      <c r="A23" s="6" t="s">
        <v>196</v>
      </c>
      <c r="B23" s="6" t="s">
        <v>24</v>
      </c>
      <c r="C23" s="6" t="s">
        <v>197</v>
      </c>
      <c r="D23" s="6" t="s">
        <v>198</v>
      </c>
      <c r="E23" s="6" t="s">
        <v>27</v>
      </c>
      <c r="F23" s="6" t="s">
        <v>199</v>
      </c>
      <c r="G23" s="6" t="s">
        <v>200</v>
      </c>
      <c r="H23" s="6" t="s">
        <v>201</v>
      </c>
      <c r="I23" s="6" t="s">
        <v>202</v>
      </c>
      <c r="J23" s="7" t="s">
        <v>32</v>
      </c>
      <c r="K23" s="7" t="s">
        <v>32</v>
      </c>
      <c r="L23" s="7" t="s">
        <v>203</v>
      </c>
      <c r="M23" s="7" t="s">
        <v>34</v>
      </c>
      <c r="N23" s="7" t="s">
        <v>35</v>
      </c>
    </row>
    <row r="24" spans="1:14" ht="35.1" hidden="1" customHeight="1" x14ac:dyDescent="0.25">
      <c r="A24" s="6" t="s">
        <v>204</v>
      </c>
      <c r="B24" s="6" t="s">
        <v>24</v>
      </c>
      <c r="C24" s="6" t="s">
        <v>205</v>
      </c>
      <c r="D24" s="6" t="s">
        <v>206</v>
      </c>
      <c r="E24" s="6" t="s">
        <v>38</v>
      </c>
      <c r="F24" s="6" t="s">
        <v>207</v>
      </c>
      <c r="G24" s="6" t="s">
        <v>208</v>
      </c>
      <c r="H24" s="6" t="s">
        <v>209</v>
      </c>
      <c r="I24" s="6" t="s">
        <v>210</v>
      </c>
      <c r="J24" s="7" t="s">
        <v>32</v>
      </c>
      <c r="K24" s="7" t="s">
        <v>32</v>
      </c>
      <c r="L24" s="7" t="s">
        <v>211</v>
      </c>
      <c r="M24" s="7" t="s">
        <v>34</v>
      </c>
      <c r="N24" s="7" t="s">
        <v>35</v>
      </c>
    </row>
    <row r="25" spans="1:14" ht="23.85" hidden="1" customHeight="1" x14ac:dyDescent="0.25">
      <c r="A25" s="6" t="s">
        <v>212</v>
      </c>
      <c r="B25" s="6" t="s">
        <v>131</v>
      </c>
      <c r="C25" s="6" t="s">
        <v>213</v>
      </c>
      <c r="D25" s="6" t="s">
        <v>214</v>
      </c>
      <c r="E25" s="6" t="s">
        <v>38</v>
      </c>
      <c r="F25" s="6" t="s">
        <v>215</v>
      </c>
      <c r="G25" s="6" t="s">
        <v>216</v>
      </c>
      <c r="H25" s="6" t="s">
        <v>217</v>
      </c>
      <c r="I25" s="6" t="s">
        <v>218</v>
      </c>
      <c r="J25" s="7" t="s">
        <v>32</v>
      </c>
      <c r="K25" s="7" t="s">
        <v>32</v>
      </c>
      <c r="L25" s="7" t="s">
        <v>219</v>
      </c>
      <c r="M25" s="7" t="s">
        <v>34</v>
      </c>
      <c r="N25" s="7" t="s">
        <v>35</v>
      </c>
    </row>
    <row r="26" spans="1:14" ht="15" hidden="1" customHeight="1" x14ac:dyDescent="0.25">
      <c r="A26" s="6" t="s">
        <v>220</v>
      </c>
      <c r="B26" s="6" t="s">
        <v>131</v>
      </c>
      <c r="C26" s="6" t="s">
        <v>221</v>
      </c>
      <c r="D26" s="6" t="s">
        <v>222</v>
      </c>
      <c r="E26" s="6" t="s">
        <v>38</v>
      </c>
      <c r="F26" s="6" t="s">
        <v>215</v>
      </c>
      <c r="G26" s="6" t="s">
        <v>223</v>
      </c>
      <c r="H26" s="6" t="s">
        <v>224</v>
      </c>
      <c r="I26" s="6" t="s">
        <v>47</v>
      </c>
      <c r="J26" s="7" t="s">
        <v>32</v>
      </c>
      <c r="K26" s="7" t="s">
        <v>32</v>
      </c>
      <c r="L26" s="7" t="s">
        <v>225</v>
      </c>
      <c r="M26" s="7" t="s">
        <v>34</v>
      </c>
      <c r="N26" s="7" t="s">
        <v>35</v>
      </c>
    </row>
    <row r="27" spans="1:14" ht="23.85" hidden="1" customHeight="1" x14ac:dyDescent="0.25">
      <c r="A27" s="6" t="s">
        <v>226</v>
      </c>
      <c r="B27" s="6" t="s">
        <v>131</v>
      </c>
      <c r="C27" s="6" t="s">
        <v>227</v>
      </c>
      <c r="D27" s="6" t="s">
        <v>228</v>
      </c>
      <c r="E27" s="6" t="s">
        <v>38</v>
      </c>
      <c r="F27" s="6" t="s">
        <v>215</v>
      </c>
      <c r="G27" s="6" t="s">
        <v>229</v>
      </c>
      <c r="H27" s="6" t="s">
        <v>230</v>
      </c>
      <c r="I27" s="6" t="s">
        <v>47</v>
      </c>
      <c r="J27" s="7" t="s">
        <v>32</v>
      </c>
      <c r="K27" s="7" t="s">
        <v>32</v>
      </c>
      <c r="L27" s="7" t="s">
        <v>231</v>
      </c>
      <c r="M27" s="7" t="s">
        <v>34</v>
      </c>
      <c r="N27" s="7" t="s">
        <v>35</v>
      </c>
    </row>
    <row r="28" spans="1:14" ht="23.85" hidden="1" customHeight="1" x14ac:dyDescent="0.25">
      <c r="A28" s="6" t="s">
        <v>232</v>
      </c>
      <c r="B28" s="6" t="s">
        <v>131</v>
      </c>
      <c r="C28" s="6" t="s">
        <v>233</v>
      </c>
      <c r="D28" s="6" t="s">
        <v>234</v>
      </c>
      <c r="E28" s="6" t="s">
        <v>38</v>
      </c>
      <c r="F28" s="6" t="s">
        <v>235</v>
      </c>
      <c r="G28" s="6" t="s">
        <v>236</v>
      </c>
      <c r="H28" s="6" t="s">
        <v>237</v>
      </c>
      <c r="I28" s="6" t="s">
        <v>238</v>
      </c>
      <c r="J28" s="7" t="s">
        <v>32</v>
      </c>
      <c r="K28" s="7" t="s">
        <v>32</v>
      </c>
      <c r="L28" s="7" t="s">
        <v>239</v>
      </c>
      <c r="M28" s="7" t="s">
        <v>34</v>
      </c>
      <c r="N28" s="7" t="s">
        <v>35</v>
      </c>
    </row>
    <row r="29" spans="1:14" ht="35.1" hidden="1" customHeight="1" x14ac:dyDescent="0.25">
      <c r="A29" s="6" t="s">
        <v>240</v>
      </c>
      <c r="B29" s="6" t="s">
        <v>241</v>
      </c>
      <c r="C29" s="6" t="s">
        <v>242</v>
      </c>
      <c r="D29" s="6" t="s">
        <v>243</v>
      </c>
      <c r="E29" s="6" t="s">
        <v>27</v>
      </c>
      <c r="F29" s="6" t="s">
        <v>244</v>
      </c>
      <c r="G29" s="6" t="s">
        <v>245</v>
      </c>
      <c r="H29" s="6" t="s">
        <v>246</v>
      </c>
      <c r="I29" s="6" t="s">
        <v>247</v>
      </c>
      <c r="J29" s="7" t="s">
        <v>32</v>
      </c>
      <c r="K29" s="7" t="s">
        <v>32</v>
      </c>
      <c r="L29" s="7" t="s">
        <v>248</v>
      </c>
      <c r="M29" s="7" t="s">
        <v>34</v>
      </c>
      <c r="N29" s="7" t="s">
        <v>35</v>
      </c>
    </row>
    <row r="30" spans="1:14" ht="35.1" hidden="1" customHeight="1" x14ac:dyDescent="0.25">
      <c r="A30" s="6" t="s">
        <v>249</v>
      </c>
      <c r="B30" s="6" t="s">
        <v>241</v>
      </c>
      <c r="C30" s="6" t="s">
        <v>250</v>
      </c>
      <c r="D30" s="6" t="s">
        <v>251</v>
      </c>
      <c r="E30" s="6" t="s">
        <v>252</v>
      </c>
      <c r="F30" s="6" t="s">
        <v>47</v>
      </c>
      <c r="G30" s="6" t="s">
        <v>253</v>
      </c>
      <c r="H30" s="6" t="s">
        <v>254</v>
      </c>
      <c r="I30" s="6" t="s">
        <v>255</v>
      </c>
      <c r="J30" s="7" t="s">
        <v>32</v>
      </c>
      <c r="K30" s="7" t="s">
        <v>32</v>
      </c>
      <c r="L30" s="7" t="s">
        <v>256</v>
      </c>
      <c r="M30" s="7" t="s">
        <v>34</v>
      </c>
      <c r="N30" s="7" t="s">
        <v>35</v>
      </c>
    </row>
    <row r="31" spans="1:14" ht="23.85" hidden="1" customHeight="1" x14ac:dyDescent="0.25">
      <c r="A31" s="6" t="s">
        <v>257</v>
      </c>
      <c r="B31" s="6" t="s">
        <v>241</v>
      </c>
      <c r="C31" s="6" t="s">
        <v>250</v>
      </c>
      <c r="D31" s="6" t="s">
        <v>258</v>
      </c>
      <c r="E31" s="6" t="s">
        <v>259</v>
      </c>
      <c r="F31" s="6" t="s">
        <v>260</v>
      </c>
      <c r="G31" s="6" t="s">
        <v>261</v>
      </c>
      <c r="H31" s="6" t="s">
        <v>262</v>
      </c>
      <c r="I31" s="6" t="s">
        <v>47</v>
      </c>
      <c r="J31" s="7" t="s">
        <v>32</v>
      </c>
      <c r="K31" s="7" t="s">
        <v>32</v>
      </c>
      <c r="L31" s="7" t="s">
        <v>263</v>
      </c>
      <c r="M31" s="7" t="s">
        <v>34</v>
      </c>
      <c r="N31" s="7" t="s">
        <v>35</v>
      </c>
    </row>
    <row r="32" spans="1:14" ht="23.85" hidden="1" customHeight="1" x14ac:dyDescent="0.25">
      <c r="A32" s="6" t="s">
        <v>264</v>
      </c>
      <c r="B32" s="6" t="s">
        <v>241</v>
      </c>
      <c r="C32" s="6" t="s">
        <v>250</v>
      </c>
      <c r="D32" s="6" t="s">
        <v>265</v>
      </c>
      <c r="E32" s="6" t="s">
        <v>266</v>
      </c>
      <c r="F32" s="6" t="s">
        <v>267</v>
      </c>
      <c r="G32" s="6" t="s">
        <v>268</v>
      </c>
      <c r="H32" s="6" t="s">
        <v>269</v>
      </c>
      <c r="I32" s="6" t="s">
        <v>270</v>
      </c>
      <c r="J32" s="7" t="s">
        <v>32</v>
      </c>
      <c r="K32" s="7" t="s">
        <v>32</v>
      </c>
      <c r="L32" s="7" t="s">
        <v>271</v>
      </c>
      <c r="M32" s="7" t="s">
        <v>34</v>
      </c>
      <c r="N32" s="7" t="s">
        <v>35</v>
      </c>
    </row>
    <row r="33" spans="1:14" ht="35.1" hidden="1" customHeight="1" x14ac:dyDescent="0.25">
      <c r="A33" s="6" t="s">
        <v>272</v>
      </c>
      <c r="B33" s="6" t="s">
        <v>241</v>
      </c>
      <c r="C33" s="6" t="s">
        <v>273</v>
      </c>
      <c r="D33" s="6" t="s">
        <v>274</v>
      </c>
      <c r="E33" s="6" t="s">
        <v>275</v>
      </c>
      <c r="F33" s="6" t="s">
        <v>276</v>
      </c>
      <c r="G33" s="6" t="s">
        <v>277</v>
      </c>
      <c r="H33" s="6" t="s">
        <v>278</v>
      </c>
      <c r="I33" s="6" t="s">
        <v>279</v>
      </c>
      <c r="J33" s="7" t="s">
        <v>32</v>
      </c>
      <c r="K33" s="7" t="s">
        <v>32</v>
      </c>
      <c r="L33" s="7" t="s">
        <v>280</v>
      </c>
      <c r="M33" s="7" t="s">
        <v>281</v>
      </c>
      <c r="N33" s="7" t="s">
        <v>282</v>
      </c>
    </row>
    <row r="34" spans="1:14" ht="15" hidden="1" customHeight="1" x14ac:dyDescent="0.25">
      <c r="A34" s="6" t="s">
        <v>283</v>
      </c>
      <c r="B34" s="6" t="s">
        <v>241</v>
      </c>
      <c r="C34" s="6" t="s">
        <v>273</v>
      </c>
      <c r="D34" s="6" t="s">
        <v>284</v>
      </c>
      <c r="E34" s="6" t="s">
        <v>157</v>
      </c>
      <c r="F34" s="6" t="s">
        <v>47</v>
      </c>
      <c r="G34" s="6" t="s">
        <v>285</v>
      </c>
      <c r="H34" s="6" t="s">
        <v>286</v>
      </c>
      <c r="I34" s="6" t="s">
        <v>47</v>
      </c>
      <c r="J34" s="7" t="s">
        <v>32</v>
      </c>
      <c r="K34" s="7" t="s">
        <v>32</v>
      </c>
      <c r="L34" s="7" t="s">
        <v>287</v>
      </c>
      <c r="M34" s="7" t="s">
        <v>281</v>
      </c>
      <c r="N34" s="7" t="s">
        <v>282</v>
      </c>
    </row>
    <row r="35" spans="1:14" ht="23.85" hidden="1" customHeight="1" x14ac:dyDescent="0.25">
      <c r="A35" s="6" t="s">
        <v>288</v>
      </c>
      <c r="B35" s="6" t="s">
        <v>241</v>
      </c>
      <c r="C35" s="6" t="s">
        <v>273</v>
      </c>
      <c r="D35" s="6" t="s">
        <v>289</v>
      </c>
      <c r="E35" s="6" t="s">
        <v>290</v>
      </c>
      <c r="F35" s="6" t="s">
        <v>291</v>
      </c>
      <c r="G35" s="6" t="s">
        <v>292</v>
      </c>
      <c r="H35" s="6" t="s">
        <v>293</v>
      </c>
      <c r="I35" s="6" t="s">
        <v>47</v>
      </c>
      <c r="J35" s="7" t="s">
        <v>32</v>
      </c>
      <c r="K35" s="7" t="s">
        <v>32</v>
      </c>
      <c r="L35" s="7" t="s">
        <v>294</v>
      </c>
      <c r="M35" s="7" t="s">
        <v>34</v>
      </c>
      <c r="N35" s="7" t="s">
        <v>35</v>
      </c>
    </row>
    <row r="36" spans="1:14" ht="23.85" hidden="1" customHeight="1" x14ac:dyDescent="0.25">
      <c r="A36" s="6" t="s">
        <v>295</v>
      </c>
      <c r="B36" s="6" t="s">
        <v>241</v>
      </c>
      <c r="C36" s="6" t="s">
        <v>296</v>
      </c>
      <c r="D36" s="6" t="s">
        <v>297</v>
      </c>
      <c r="E36" s="6" t="s">
        <v>27</v>
      </c>
      <c r="F36" s="6" t="s">
        <v>298</v>
      </c>
      <c r="G36" s="6" t="s">
        <v>299</v>
      </c>
      <c r="H36" s="6" t="s">
        <v>300</v>
      </c>
      <c r="I36" s="6" t="s">
        <v>301</v>
      </c>
      <c r="J36" s="7" t="s">
        <v>32</v>
      </c>
      <c r="K36" s="7" t="s">
        <v>32</v>
      </c>
      <c r="L36" s="7" t="s">
        <v>302</v>
      </c>
      <c r="M36" s="7" t="s">
        <v>34</v>
      </c>
      <c r="N36" s="7" t="s">
        <v>282</v>
      </c>
    </row>
    <row r="37" spans="1:14" ht="35.1" hidden="1" customHeight="1" x14ac:dyDescent="0.25">
      <c r="A37" s="6" t="s">
        <v>303</v>
      </c>
      <c r="B37" s="6" t="s">
        <v>241</v>
      </c>
      <c r="C37" s="6" t="s">
        <v>296</v>
      </c>
      <c r="D37" s="6" t="s">
        <v>304</v>
      </c>
      <c r="E37" s="6" t="s">
        <v>305</v>
      </c>
      <c r="F37" s="6" t="s">
        <v>306</v>
      </c>
      <c r="G37" s="6" t="s">
        <v>307</v>
      </c>
      <c r="H37" s="6" t="s">
        <v>308</v>
      </c>
      <c r="I37" s="6" t="s">
        <v>309</v>
      </c>
      <c r="J37" s="7" t="s">
        <v>32</v>
      </c>
      <c r="K37" s="7" t="s">
        <v>32</v>
      </c>
      <c r="L37" s="7" t="s">
        <v>310</v>
      </c>
      <c r="M37" s="7" t="s">
        <v>34</v>
      </c>
      <c r="N37" s="7" t="s">
        <v>282</v>
      </c>
    </row>
    <row r="38" spans="1:14" ht="35.1" hidden="1" customHeight="1" x14ac:dyDescent="0.25">
      <c r="A38" s="6" t="s">
        <v>311</v>
      </c>
      <c r="B38" s="6" t="s">
        <v>241</v>
      </c>
      <c r="C38" s="6" t="s">
        <v>296</v>
      </c>
      <c r="D38" s="6" t="s">
        <v>312</v>
      </c>
      <c r="E38" s="6" t="s">
        <v>305</v>
      </c>
      <c r="F38" s="6" t="s">
        <v>306</v>
      </c>
      <c r="G38" s="6" t="s">
        <v>307</v>
      </c>
      <c r="H38" s="6" t="s">
        <v>308</v>
      </c>
      <c r="I38" s="6" t="s">
        <v>309</v>
      </c>
      <c r="J38" s="7" t="s">
        <v>32</v>
      </c>
      <c r="K38" s="7" t="s">
        <v>32</v>
      </c>
      <c r="L38" s="7" t="s">
        <v>313</v>
      </c>
      <c r="M38" s="7" t="s">
        <v>34</v>
      </c>
      <c r="N38" s="7" t="s">
        <v>282</v>
      </c>
    </row>
    <row r="39" spans="1:14" ht="35.1" hidden="1" customHeight="1" x14ac:dyDescent="0.25">
      <c r="A39" s="6" t="s">
        <v>314</v>
      </c>
      <c r="B39" s="6" t="s">
        <v>241</v>
      </c>
      <c r="C39" s="6" t="s">
        <v>296</v>
      </c>
      <c r="D39" s="6" t="s">
        <v>315</v>
      </c>
      <c r="E39" s="6" t="s">
        <v>305</v>
      </c>
      <c r="F39" s="6" t="s">
        <v>306</v>
      </c>
      <c r="G39" s="6" t="s">
        <v>307</v>
      </c>
      <c r="H39" s="6" t="s">
        <v>308</v>
      </c>
      <c r="I39" s="6" t="s">
        <v>309</v>
      </c>
      <c r="J39" s="7" t="s">
        <v>32</v>
      </c>
      <c r="K39" s="7" t="s">
        <v>32</v>
      </c>
      <c r="L39" s="7" t="s">
        <v>316</v>
      </c>
      <c r="M39" s="7" t="s">
        <v>34</v>
      </c>
      <c r="N39" s="7" t="s">
        <v>282</v>
      </c>
    </row>
    <row r="40" spans="1:14" ht="35.1" hidden="1" customHeight="1" x14ac:dyDescent="0.25">
      <c r="A40" s="6" t="s">
        <v>317</v>
      </c>
      <c r="B40" s="6" t="s">
        <v>241</v>
      </c>
      <c r="C40" s="6" t="s">
        <v>296</v>
      </c>
      <c r="D40" s="6" t="s">
        <v>318</v>
      </c>
      <c r="E40" s="6" t="s">
        <v>305</v>
      </c>
      <c r="F40" s="6" t="s">
        <v>306</v>
      </c>
      <c r="G40" s="6" t="s">
        <v>307</v>
      </c>
      <c r="H40" s="6" t="s">
        <v>308</v>
      </c>
      <c r="I40" s="6" t="s">
        <v>309</v>
      </c>
      <c r="J40" s="7" t="s">
        <v>32</v>
      </c>
      <c r="K40" s="7" t="s">
        <v>32</v>
      </c>
      <c r="L40" s="7" t="s">
        <v>316</v>
      </c>
      <c r="M40" s="7" t="s">
        <v>34</v>
      </c>
      <c r="N40" s="7" t="s">
        <v>282</v>
      </c>
    </row>
    <row r="41" spans="1:14" ht="35.1" hidden="1" customHeight="1" x14ac:dyDescent="0.25">
      <c r="A41" s="6" t="s">
        <v>319</v>
      </c>
      <c r="B41" s="6" t="s">
        <v>241</v>
      </c>
      <c r="C41" s="6" t="s">
        <v>296</v>
      </c>
      <c r="D41" s="6" t="s">
        <v>320</v>
      </c>
      <c r="E41" s="6" t="s">
        <v>305</v>
      </c>
      <c r="F41" s="6" t="s">
        <v>306</v>
      </c>
      <c r="G41" s="6" t="s">
        <v>307</v>
      </c>
      <c r="H41" s="6" t="s">
        <v>308</v>
      </c>
      <c r="I41" s="6" t="s">
        <v>309</v>
      </c>
      <c r="J41" s="7" t="s">
        <v>32</v>
      </c>
      <c r="K41" s="7" t="s">
        <v>32</v>
      </c>
      <c r="L41" s="7" t="s">
        <v>321</v>
      </c>
      <c r="M41" s="7" t="s">
        <v>34</v>
      </c>
      <c r="N41" s="7" t="s">
        <v>282</v>
      </c>
    </row>
    <row r="42" spans="1:14" ht="35.1" hidden="1" customHeight="1" x14ac:dyDescent="0.25">
      <c r="A42" s="6" t="s">
        <v>322</v>
      </c>
      <c r="B42" s="6" t="s">
        <v>241</v>
      </c>
      <c r="C42" s="6" t="s">
        <v>296</v>
      </c>
      <c r="D42" s="6" t="s">
        <v>323</v>
      </c>
      <c r="E42" s="6" t="s">
        <v>305</v>
      </c>
      <c r="F42" s="6" t="s">
        <v>306</v>
      </c>
      <c r="G42" s="6" t="s">
        <v>307</v>
      </c>
      <c r="H42" s="6" t="s">
        <v>308</v>
      </c>
      <c r="I42" s="6" t="s">
        <v>309</v>
      </c>
      <c r="J42" s="7" t="s">
        <v>32</v>
      </c>
      <c r="K42" s="7" t="s">
        <v>32</v>
      </c>
      <c r="L42" s="7" t="s">
        <v>324</v>
      </c>
      <c r="M42" s="7" t="s">
        <v>34</v>
      </c>
      <c r="N42" s="7" t="s">
        <v>282</v>
      </c>
    </row>
    <row r="43" spans="1:14" ht="23.85" hidden="1" customHeight="1" x14ac:dyDescent="0.25">
      <c r="A43" s="6" t="s">
        <v>325</v>
      </c>
      <c r="B43" s="6" t="s">
        <v>241</v>
      </c>
      <c r="C43" s="6" t="s">
        <v>296</v>
      </c>
      <c r="D43" s="6" t="s">
        <v>326</v>
      </c>
      <c r="E43" s="6" t="s">
        <v>38</v>
      </c>
      <c r="F43" s="6" t="s">
        <v>47</v>
      </c>
      <c r="G43" s="6" t="s">
        <v>327</v>
      </c>
      <c r="H43" s="6" t="s">
        <v>328</v>
      </c>
      <c r="I43" s="6" t="s">
        <v>47</v>
      </c>
      <c r="J43" s="7" t="s">
        <v>32</v>
      </c>
      <c r="K43" s="7" t="s">
        <v>32</v>
      </c>
      <c r="L43" s="7" t="s">
        <v>329</v>
      </c>
      <c r="M43" s="7" t="s">
        <v>34</v>
      </c>
      <c r="N43" s="7" t="s">
        <v>282</v>
      </c>
    </row>
    <row r="44" spans="1:14" ht="23.85" hidden="1" customHeight="1" x14ac:dyDescent="0.25">
      <c r="A44" s="6" t="s">
        <v>330</v>
      </c>
      <c r="B44" s="6" t="s">
        <v>241</v>
      </c>
      <c r="C44" s="6" t="s">
        <v>296</v>
      </c>
      <c r="D44" s="6" t="s">
        <v>331</v>
      </c>
      <c r="E44" s="6" t="s">
        <v>38</v>
      </c>
      <c r="F44" s="6" t="s">
        <v>47</v>
      </c>
      <c r="G44" s="6" t="s">
        <v>332</v>
      </c>
      <c r="H44" s="6" t="s">
        <v>333</v>
      </c>
      <c r="I44" s="6" t="s">
        <v>47</v>
      </c>
      <c r="J44" s="7" t="s">
        <v>32</v>
      </c>
      <c r="K44" s="7" t="s">
        <v>32</v>
      </c>
      <c r="L44" s="7" t="s">
        <v>334</v>
      </c>
      <c r="M44" s="7" t="s">
        <v>34</v>
      </c>
      <c r="N44" s="7" t="s">
        <v>282</v>
      </c>
    </row>
    <row r="45" spans="1:14" ht="23.85" hidden="1" customHeight="1" x14ac:dyDescent="0.25">
      <c r="A45" s="6" t="s">
        <v>335</v>
      </c>
      <c r="B45" s="6" t="s">
        <v>241</v>
      </c>
      <c r="C45" s="6" t="s">
        <v>296</v>
      </c>
      <c r="D45" s="6" t="s">
        <v>336</v>
      </c>
      <c r="E45" s="6" t="s">
        <v>305</v>
      </c>
      <c r="F45" s="6" t="s">
        <v>47</v>
      </c>
      <c r="G45" s="6" t="s">
        <v>337</v>
      </c>
      <c r="H45" s="6" t="s">
        <v>338</v>
      </c>
      <c r="I45" s="6" t="s">
        <v>47</v>
      </c>
      <c r="J45" s="7" t="s">
        <v>32</v>
      </c>
      <c r="K45" s="7" t="s">
        <v>32</v>
      </c>
      <c r="L45" s="7" t="s">
        <v>339</v>
      </c>
      <c r="M45" s="7" t="s">
        <v>34</v>
      </c>
      <c r="N45" s="7" t="s">
        <v>282</v>
      </c>
    </row>
    <row r="46" spans="1:14" ht="23.85" hidden="1" customHeight="1" x14ac:dyDescent="0.25">
      <c r="A46" s="6" t="s">
        <v>340</v>
      </c>
      <c r="B46" s="6" t="s">
        <v>241</v>
      </c>
      <c r="C46" s="6" t="s">
        <v>296</v>
      </c>
      <c r="D46" s="6" t="s">
        <v>341</v>
      </c>
      <c r="E46" s="6" t="s">
        <v>342</v>
      </c>
      <c r="F46" s="6" t="s">
        <v>47</v>
      </c>
      <c r="G46" s="6" t="s">
        <v>343</v>
      </c>
      <c r="H46" s="6" t="s">
        <v>344</v>
      </c>
      <c r="I46" s="6" t="s">
        <v>47</v>
      </c>
      <c r="J46" s="7" t="s">
        <v>32</v>
      </c>
      <c r="K46" s="7" t="s">
        <v>32</v>
      </c>
      <c r="L46" s="7" t="s">
        <v>345</v>
      </c>
      <c r="M46" s="7" t="s">
        <v>34</v>
      </c>
      <c r="N46" s="7" t="s">
        <v>282</v>
      </c>
    </row>
    <row r="47" spans="1:14" ht="23.85" hidden="1" customHeight="1" x14ac:dyDescent="0.25">
      <c r="A47" s="6" t="s">
        <v>346</v>
      </c>
      <c r="B47" s="6" t="s">
        <v>241</v>
      </c>
      <c r="C47" s="6" t="s">
        <v>347</v>
      </c>
      <c r="D47" s="6" t="s">
        <v>348</v>
      </c>
      <c r="E47" s="6" t="s">
        <v>157</v>
      </c>
      <c r="F47" s="6" t="s">
        <v>47</v>
      </c>
      <c r="G47" s="6" t="s">
        <v>349</v>
      </c>
      <c r="H47" s="6" t="s">
        <v>350</v>
      </c>
      <c r="I47" s="6" t="s">
        <v>47</v>
      </c>
      <c r="J47" s="7" t="s">
        <v>32</v>
      </c>
      <c r="K47" s="7" t="s">
        <v>32</v>
      </c>
      <c r="L47" s="7" t="s">
        <v>351</v>
      </c>
      <c r="M47" s="7" t="s">
        <v>281</v>
      </c>
      <c r="N47" s="7" t="s">
        <v>282</v>
      </c>
    </row>
    <row r="48" spans="1:14" ht="15" hidden="1" customHeight="1" x14ac:dyDescent="0.25">
      <c r="A48" s="6" t="s">
        <v>352</v>
      </c>
      <c r="B48" s="6" t="s">
        <v>241</v>
      </c>
      <c r="C48" s="6" t="s">
        <v>347</v>
      </c>
      <c r="D48" s="6" t="s">
        <v>353</v>
      </c>
      <c r="E48" s="6" t="s">
        <v>157</v>
      </c>
      <c r="F48" s="6" t="s">
        <v>354</v>
      </c>
      <c r="G48" s="6" t="s">
        <v>355</v>
      </c>
      <c r="H48" s="6" t="s">
        <v>356</v>
      </c>
      <c r="I48" s="6" t="s">
        <v>47</v>
      </c>
      <c r="J48" s="7" t="s">
        <v>32</v>
      </c>
      <c r="K48" s="7" t="s">
        <v>32</v>
      </c>
      <c r="L48" s="7" t="s">
        <v>357</v>
      </c>
      <c r="M48" s="7" t="s">
        <v>281</v>
      </c>
      <c r="N48" s="7" t="s">
        <v>282</v>
      </c>
    </row>
    <row r="49" spans="1:14" ht="35.1" hidden="1" customHeight="1" x14ac:dyDescent="0.25">
      <c r="A49" s="6" t="s">
        <v>358</v>
      </c>
      <c r="B49" s="6" t="s">
        <v>241</v>
      </c>
      <c r="C49" s="6" t="s">
        <v>359</v>
      </c>
      <c r="D49" s="6" t="s">
        <v>360</v>
      </c>
      <c r="E49" s="6" t="s">
        <v>38</v>
      </c>
      <c r="F49" s="6" t="s">
        <v>47</v>
      </c>
      <c r="G49" s="6" t="s">
        <v>361</v>
      </c>
      <c r="H49" s="6" t="s">
        <v>362</v>
      </c>
      <c r="I49" s="6" t="s">
        <v>47</v>
      </c>
      <c r="J49" s="7" t="s">
        <v>32</v>
      </c>
      <c r="K49" s="7" t="s">
        <v>32</v>
      </c>
      <c r="L49" s="7" t="s">
        <v>363</v>
      </c>
      <c r="M49" s="7" t="s">
        <v>281</v>
      </c>
      <c r="N49" s="7" t="s">
        <v>282</v>
      </c>
    </row>
    <row r="50" spans="1:14" ht="23.85" hidden="1" customHeight="1" x14ac:dyDescent="0.25">
      <c r="A50" s="6" t="s">
        <v>364</v>
      </c>
      <c r="B50" s="6" t="s">
        <v>241</v>
      </c>
      <c r="C50" s="6" t="s">
        <v>359</v>
      </c>
      <c r="D50" s="6" t="s">
        <v>365</v>
      </c>
      <c r="E50" s="6" t="s">
        <v>366</v>
      </c>
      <c r="F50" s="6" t="s">
        <v>47</v>
      </c>
      <c r="G50" s="6" t="s">
        <v>367</v>
      </c>
      <c r="H50" s="6" t="s">
        <v>368</v>
      </c>
      <c r="I50" s="6" t="s">
        <v>47</v>
      </c>
      <c r="J50" s="7" t="s">
        <v>32</v>
      </c>
      <c r="K50" s="7" t="s">
        <v>32</v>
      </c>
      <c r="L50" s="7" t="s">
        <v>369</v>
      </c>
      <c r="M50" s="7" t="s">
        <v>281</v>
      </c>
      <c r="N50" s="7" t="s">
        <v>282</v>
      </c>
    </row>
    <row r="51" spans="1:14" ht="23.85" hidden="1" customHeight="1" x14ac:dyDescent="0.25">
      <c r="A51" s="6" t="s">
        <v>370</v>
      </c>
      <c r="B51" s="6" t="s">
        <v>241</v>
      </c>
      <c r="C51" s="6" t="s">
        <v>371</v>
      </c>
      <c r="D51" s="6" t="s">
        <v>372</v>
      </c>
      <c r="E51" s="6" t="s">
        <v>373</v>
      </c>
      <c r="F51" s="6" t="s">
        <v>374</v>
      </c>
      <c r="G51" s="6" t="s">
        <v>375</v>
      </c>
      <c r="H51" s="6" t="s">
        <v>376</v>
      </c>
      <c r="I51" s="6" t="s">
        <v>377</v>
      </c>
      <c r="J51" s="7" t="s">
        <v>32</v>
      </c>
      <c r="K51" s="7" t="s">
        <v>32</v>
      </c>
      <c r="L51" s="7" t="s">
        <v>378</v>
      </c>
      <c r="M51" s="7" t="s">
        <v>34</v>
      </c>
      <c r="N51" s="7" t="s">
        <v>35</v>
      </c>
    </row>
    <row r="52" spans="1:14" ht="23.85" hidden="1" customHeight="1" x14ac:dyDescent="0.25">
      <c r="A52" s="6" t="s">
        <v>379</v>
      </c>
      <c r="B52" s="6" t="s">
        <v>380</v>
      </c>
      <c r="C52" s="6" t="s">
        <v>381</v>
      </c>
      <c r="D52" s="6" t="s">
        <v>382</v>
      </c>
      <c r="E52" s="6" t="s">
        <v>27</v>
      </c>
      <c r="F52" s="6" t="s">
        <v>47</v>
      </c>
      <c r="G52" s="6" t="s">
        <v>383</v>
      </c>
      <c r="H52" s="6" t="s">
        <v>384</v>
      </c>
      <c r="I52" s="6" t="s">
        <v>385</v>
      </c>
      <c r="J52" s="7" t="s">
        <v>32</v>
      </c>
      <c r="K52" s="7" t="s">
        <v>32</v>
      </c>
      <c r="L52" s="7" t="s">
        <v>386</v>
      </c>
      <c r="M52" s="7" t="s">
        <v>34</v>
      </c>
      <c r="N52" s="7" t="s">
        <v>282</v>
      </c>
    </row>
    <row r="53" spans="1:14" ht="45.75" hidden="1" customHeight="1" x14ac:dyDescent="0.25">
      <c r="A53" s="6" t="s">
        <v>387</v>
      </c>
      <c r="B53" s="6" t="s">
        <v>380</v>
      </c>
      <c r="C53" s="6" t="s">
        <v>388</v>
      </c>
      <c r="D53" s="6" t="s">
        <v>389</v>
      </c>
      <c r="E53" s="6" t="s">
        <v>390</v>
      </c>
      <c r="F53" s="6" t="s">
        <v>47</v>
      </c>
      <c r="G53" s="6" t="s">
        <v>391</v>
      </c>
      <c r="H53" s="6" t="s">
        <v>392</v>
      </c>
      <c r="I53" s="6" t="s">
        <v>47</v>
      </c>
      <c r="J53" s="7" t="s">
        <v>32</v>
      </c>
      <c r="K53" s="7" t="s">
        <v>32</v>
      </c>
      <c r="L53" s="7" t="s">
        <v>393</v>
      </c>
      <c r="M53" s="7" t="s">
        <v>34</v>
      </c>
      <c r="N53" s="7" t="s">
        <v>282</v>
      </c>
    </row>
    <row r="54" spans="1:14" ht="35.1" hidden="1" customHeight="1" x14ac:dyDescent="0.25">
      <c r="A54" s="6" t="s">
        <v>394</v>
      </c>
      <c r="B54" s="6" t="s">
        <v>380</v>
      </c>
      <c r="C54" s="6" t="s">
        <v>395</v>
      </c>
      <c r="D54" s="6" t="s">
        <v>396</v>
      </c>
      <c r="E54" s="6" t="s">
        <v>390</v>
      </c>
      <c r="F54" s="6" t="s">
        <v>397</v>
      </c>
      <c r="G54" s="6" t="s">
        <v>398</v>
      </c>
      <c r="H54" s="6" t="s">
        <v>399</v>
      </c>
      <c r="I54" s="6" t="s">
        <v>400</v>
      </c>
      <c r="J54" s="7" t="s">
        <v>32</v>
      </c>
      <c r="K54" s="7" t="s">
        <v>32</v>
      </c>
      <c r="L54" s="7" t="s">
        <v>401</v>
      </c>
      <c r="M54" s="7" t="s">
        <v>281</v>
      </c>
      <c r="N54" s="7" t="s">
        <v>282</v>
      </c>
    </row>
    <row r="55" spans="1:14" ht="35.1" hidden="1" customHeight="1" x14ac:dyDescent="0.25">
      <c r="A55" s="6" t="s">
        <v>402</v>
      </c>
      <c r="B55" s="6" t="s">
        <v>380</v>
      </c>
      <c r="C55" s="6" t="s">
        <v>395</v>
      </c>
      <c r="D55" s="6" t="s">
        <v>403</v>
      </c>
      <c r="E55" s="6" t="s">
        <v>390</v>
      </c>
      <c r="F55" s="6" t="s">
        <v>404</v>
      </c>
      <c r="G55" s="6" t="s">
        <v>405</v>
      </c>
      <c r="H55" s="6" t="s">
        <v>406</v>
      </c>
      <c r="I55" s="6" t="s">
        <v>407</v>
      </c>
      <c r="J55" s="7" t="s">
        <v>32</v>
      </c>
      <c r="K55" s="7" t="s">
        <v>32</v>
      </c>
      <c r="L55" s="7" t="s">
        <v>408</v>
      </c>
      <c r="M55" s="7" t="s">
        <v>34</v>
      </c>
      <c r="N55" s="7" t="s">
        <v>282</v>
      </c>
    </row>
    <row r="56" spans="1:14" ht="35.1" hidden="1" customHeight="1" x14ac:dyDescent="0.25">
      <c r="A56" s="6" t="s">
        <v>409</v>
      </c>
      <c r="B56" s="6" t="s">
        <v>380</v>
      </c>
      <c r="C56" s="6" t="s">
        <v>395</v>
      </c>
      <c r="D56" s="6" t="s">
        <v>410</v>
      </c>
      <c r="E56" s="6" t="s">
        <v>390</v>
      </c>
      <c r="F56" s="6" t="s">
        <v>411</v>
      </c>
      <c r="G56" s="6" t="s">
        <v>412</v>
      </c>
      <c r="H56" s="6" t="s">
        <v>413</v>
      </c>
      <c r="I56" s="6" t="s">
        <v>414</v>
      </c>
      <c r="J56" s="7" t="s">
        <v>32</v>
      </c>
      <c r="K56" s="7" t="s">
        <v>32</v>
      </c>
      <c r="L56" s="7" t="s">
        <v>415</v>
      </c>
      <c r="M56" s="7" t="s">
        <v>281</v>
      </c>
      <c r="N56" s="7" t="s">
        <v>282</v>
      </c>
    </row>
    <row r="57" spans="1:14" ht="23.85" hidden="1" customHeight="1" x14ac:dyDescent="0.25">
      <c r="A57" s="6" t="s">
        <v>416</v>
      </c>
      <c r="B57" s="6" t="s">
        <v>380</v>
      </c>
      <c r="C57" s="6" t="s">
        <v>395</v>
      </c>
      <c r="D57" s="6" t="s">
        <v>417</v>
      </c>
      <c r="E57" s="6" t="s">
        <v>390</v>
      </c>
      <c r="F57" s="6" t="s">
        <v>418</v>
      </c>
      <c r="G57" s="6" t="s">
        <v>419</v>
      </c>
      <c r="H57" s="6" t="s">
        <v>420</v>
      </c>
      <c r="I57" s="6" t="s">
        <v>47</v>
      </c>
      <c r="J57" s="7" t="s">
        <v>32</v>
      </c>
      <c r="K57" s="7" t="s">
        <v>32</v>
      </c>
      <c r="L57" s="7" t="s">
        <v>421</v>
      </c>
      <c r="M57" s="7" t="s">
        <v>281</v>
      </c>
      <c r="N57" s="7" t="s">
        <v>282</v>
      </c>
    </row>
    <row r="58" spans="1:14" ht="23.85" hidden="1" customHeight="1" x14ac:dyDescent="0.25">
      <c r="A58" s="6" t="s">
        <v>422</v>
      </c>
      <c r="B58" s="6" t="s">
        <v>380</v>
      </c>
      <c r="C58" s="6" t="s">
        <v>395</v>
      </c>
      <c r="D58" s="6" t="s">
        <v>423</v>
      </c>
      <c r="E58" s="6" t="s">
        <v>390</v>
      </c>
      <c r="F58" s="6" t="s">
        <v>424</v>
      </c>
      <c r="G58" s="6" t="s">
        <v>398</v>
      </c>
      <c r="H58" s="6" t="s">
        <v>425</v>
      </c>
      <c r="I58" s="6" t="s">
        <v>47</v>
      </c>
      <c r="J58" s="7" t="s">
        <v>32</v>
      </c>
      <c r="K58" s="7" t="s">
        <v>32</v>
      </c>
      <c r="L58" s="7" t="s">
        <v>426</v>
      </c>
      <c r="M58" s="7" t="s">
        <v>281</v>
      </c>
      <c r="N58" s="7" t="s">
        <v>282</v>
      </c>
    </row>
    <row r="59" spans="1:14" ht="23.85" hidden="1" customHeight="1" x14ac:dyDescent="0.25">
      <c r="A59" s="6" t="s">
        <v>427</v>
      </c>
      <c r="B59" s="6" t="s">
        <v>380</v>
      </c>
      <c r="C59" s="6" t="s">
        <v>395</v>
      </c>
      <c r="D59" s="6" t="s">
        <v>428</v>
      </c>
      <c r="E59" s="6" t="s">
        <v>390</v>
      </c>
      <c r="F59" s="6" t="s">
        <v>47</v>
      </c>
      <c r="G59" s="6" t="s">
        <v>429</v>
      </c>
      <c r="H59" s="6" t="s">
        <v>430</v>
      </c>
      <c r="I59" s="6" t="s">
        <v>47</v>
      </c>
      <c r="J59" s="7" t="s">
        <v>32</v>
      </c>
      <c r="K59" s="7" t="s">
        <v>32</v>
      </c>
      <c r="L59" s="7" t="s">
        <v>431</v>
      </c>
      <c r="M59" s="7" t="s">
        <v>281</v>
      </c>
      <c r="N59" s="7" t="s">
        <v>282</v>
      </c>
    </row>
    <row r="60" spans="1:14" ht="23.85" customHeight="1" x14ac:dyDescent="0.25">
      <c r="A60" s="6" t="s">
        <v>432</v>
      </c>
      <c r="B60" s="6" t="s">
        <v>380</v>
      </c>
      <c r="C60" s="6" t="s">
        <v>395</v>
      </c>
      <c r="D60" s="6" t="s">
        <v>433</v>
      </c>
      <c r="E60" s="6" t="s">
        <v>390</v>
      </c>
      <c r="F60" s="6" t="s">
        <v>434</v>
      </c>
      <c r="G60" s="6" t="s">
        <v>435</v>
      </c>
      <c r="H60" s="6" t="s">
        <v>436</v>
      </c>
      <c r="I60" s="6" t="s">
        <v>47</v>
      </c>
      <c r="J60" s="7" t="s">
        <v>32</v>
      </c>
      <c r="K60" s="7" t="s">
        <v>32</v>
      </c>
      <c r="L60" s="7" t="s">
        <v>437</v>
      </c>
      <c r="M60" s="7" t="s">
        <v>281</v>
      </c>
      <c r="N60" s="7" t="s">
        <v>282</v>
      </c>
    </row>
    <row r="61" spans="1:14" ht="23.85" customHeight="1" x14ac:dyDescent="0.25">
      <c r="A61" s="6" t="s">
        <v>438</v>
      </c>
      <c r="B61" s="6" t="s">
        <v>380</v>
      </c>
      <c r="C61" s="6" t="s">
        <v>395</v>
      </c>
      <c r="D61" s="6" t="s">
        <v>439</v>
      </c>
      <c r="E61" s="6" t="s">
        <v>390</v>
      </c>
      <c r="F61" s="6" t="s">
        <v>440</v>
      </c>
      <c r="G61" s="6" t="s">
        <v>441</v>
      </c>
      <c r="H61" s="6" t="s">
        <v>442</v>
      </c>
      <c r="I61" s="6" t="s">
        <v>443</v>
      </c>
      <c r="J61" s="7" t="s">
        <v>32</v>
      </c>
      <c r="K61" s="7" t="s">
        <v>32</v>
      </c>
      <c r="L61" s="7" t="s">
        <v>444</v>
      </c>
      <c r="M61" s="7" t="s">
        <v>34</v>
      </c>
      <c r="N61" s="7" t="s">
        <v>282</v>
      </c>
    </row>
    <row r="62" spans="1:14" ht="23.85" customHeight="1" x14ac:dyDescent="0.25">
      <c r="A62" s="6" t="s">
        <v>445</v>
      </c>
      <c r="B62" s="6" t="s">
        <v>380</v>
      </c>
      <c r="C62" s="6" t="s">
        <v>395</v>
      </c>
      <c r="D62" s="6" t="s">
        <v>446</v>
      </c>
      <c r="E62" s="6" t="s">
        <v>390</v>
      </c>
      <c r="F62" s="6" t="s">
        <v>447</v>
      </c>
      <c r="G62" s="6" t="s">
        <v>448</v>
      </c>
      <c r="H62" s="6" t="s">
        <v>449</v>
      </c>
      <c r="I62" s="6" t="s">
        <v>47</v>
      </c>
      <c r="J62" s="7" t="s">
        <v>32</v>
      </c>
      <c r="K62" s="7" t="s">
        <v>32</v>
      </c>
      <c r="L62" s="7" t="s">
        <v>450</v>
      </c>
      <c r="M62" s="7" t="s">
        <v>281</v>
      </c>
      <c r="N62" s="7" t="s">
        <v>282</v>
      </c>
    </row>
    <row r="63" spans="1:14" ht="42" customHeight="1" x14ac:dyDescent="0.25">
      <c r="A63" s="6" t="s">
        <v>451</v>
      </c>
      <c r="B63" s="6" t="s">
        <v>380</v>
      </c>
      <c r="C63" s="6" t="s">
        <v>395</v>
      </c>
      <c r="D63" s="6" t="s">
        <v>452</v>
      </c>
      <c r="E63" s="6" t="s">
        <v>390</v>
      </c>
      <c r="F63" s="6" t="s">
        <v>453</v>
      </c>
      <c r="G63" s="6" t="s">
        <v>454</v>
      </c>
      <c r="H63" s="6" t="s">
        <v>455</v>
      </c>
      <c r="I63" s="6" t="s">
        <v>47</v>
      </c>
      <c r="J63" s="7" t="s">
        <v>32</v>
      </c>
      <c r="K63" s="7" t="s">
        <v>32</v>
      </c>
      <c r="L63" s="7" t="s">
        <v>456</v>
      </c>
      <c r="M63" s="7" t="s">
        <v>34</v>
      </c>
      <c r="N63" s="7" t="s">
        <v>282</v>
      </c>
    </row>
    <row r="64" spans="1:14" ht="57.4" customHeight="1" x14ac:dyDescent="0.25">
      <c r="A64" s="6" t="s">
        <v>457</v>
      </c>
      <c r="B64" s="6" t="s">
        <v>380</v>
      </c>
      <c r="C64" s="6" t="s">
        <v>458</v>
      </c>
      <c r="D64" s="6" t="s">
        <v>459</v>
      </c>
      <c r="E64" s="6" t="s">
        <v>460</v>
      </c>
      <c r="F64" s="6" t="s">
        <v>47</v>
      </c>
      <c r="G64" s="6" t="s">
        <v>461</v>
      </c>
      <c r="H64" s="6" t="s">
        <v>462</v>
      </c>
      <c r="I64" s="6" t="s">
        <v>463</v>
      </c>
      <c r="J64" s="7" t="s">
        <v>32</v>
      </c>
      <c r="K64" s="7" t="s">
        <v>32</v>
      </c>
      <c r="L64" s="7" t="s">
        <v>464</v>
      </c>
      <c r="M64" s="7" t="s">
        <v>34</v>
      </c>
      <c r="N64" s="7" t="s">
        <v>282</v>
      </c>
    </row>
    <row r="65" spans="1:14" ht="15" customHeight="1" x14ac:dyDescent="0.25">
      <c r="A65" s="6" t="s">
        <v>465</v>
      </c>
      <c r="B65" s="6" t="s">
        <v>380</v>
      </c>
      <c r="C65" s="6" t="s">
        <v>466</v>
      </c>
      <c r="D65" s="6" t="s">
        <v>467</v>
      </c>
      <c r="E65" s="6" t="s">
        <v>468</v>
      </c>
      <c r="F65" s="6" t="s">
        <v>47</v>
      </c>
      <c r="G65" s="6" t="s">
        <v>469</v>
      </c>
      <c r="H65" s="6" t="s">
        <v>470</v>
      </c>
      <c r="I65" s="6" t="s">
        <v>47</v>
      </c>
      <c r="J65" s="7" t="s">
        <v>32</v>
      </c>
      <c r="K65" s="7" t="s">
        <v>32</v>
      </c>
      <c r="L65" s="7" t="s">
        <v>471</v>
      </c>
      <c r="M65" s="7" t="s">
        <v>34</v>
      </c>
      <c r="N65" s="7" t="s">
        <v>282</v>
      </c>
    </row>
    <row r="66" spans="1:14" ht="15" customHeight="1" x14ac:dyDescent="0.25">
      <c r="A66" s="6" t="s">
        <v>472</v>
      </c>
      <c r="B66" s="6" t="s">
        <v>380</v>
      </c>
      <c r="C66" s="6" t="s">
        <v>381</v>
      </c>
      <c r="D66" s="6" t="s">
        <v>473</v>
      </c>
      <c r="E66" s="6" t="s">
        <v>390</v>
      </c>
      <c r="F66" s="6" t="s">
        <v>474</v>
      </c>
      <c r="G66" s="6" t="s">
        <v>475</v>
      </c>
      <c r="H66" s="6" t="s">
        <v>476</v>
      </c>
      <c r="I66" s="6" t="s">
        <v>477</v>
      </c>
      <c r="J66" s="7" t="s">
        <v>32</v>
      </c>
      <c r="K66" s="7" t="s">
        <v>32</v>
      </c>
      <c r="L66" s="7" t="s">
        <v>478</v>
      </c>
      <c r="M66" s="7" t="s">
        <v>34</v>
      </c>
      <c r="N66" s="7" t="s">
        <v>282</v>
      </c>
    </row>
    <row r="67" spans="1:14" ht="15" customHeight="1" x14ac:dyDescent="0.25">
      <c r="A67" s="6" t="s">
        <v>479</v>
      </c>
      <c r="B67" s="6" t="s">
        <v>380</v>
      </c>
      <c r="C67" s="6" t="s">
        <v>381</v>
      </c>
      <c r="D67" s="6" t="s">
        <v>480</v>
      </c>
      <c r="E67" s="6" t="s">
        <v>390</v>
      </c>
      <c r="F67" s="6" t="s">
        <v>481</v>
      </c>
      <c r="G67" s="6" t="s">
        <v>482</v>
      </c>
      <c r="H67" s="6" t="s">
        <v>483</v>
      </c>
      <c r="I67" s="6" t="s">
        <v>47</v>
      </c>
      <c r="J67" s="7" t="s">
        <v>32</v>
      </c>
      <c r="K67" s="7" t="s">
        <v>32</v>
      </c>
      <c r="L67" s="7" t="s">
        <v>484</v>
      </c>
      <c r="M67" s="7" t="s">
        <v>34</v>
      </c>
      <c r="N67" s="7" t="s">
        <v>282</v>
      </c>
    </row>
    <row r="68" spans="1:14" ht="15" customHeight="1" x14ac:dyDescent="0.25">
      <c r="A68" s="6" t="s">
        <v>485</v>
      </c>
      <c r="B68" s="6" t="s">
        <v>380</v>
      </c>
      <c r="C68" s="6" t="s">
        <v>381</v>
      </c>
      <c r="D68" s="6" t="s">
        <v>433</v>
      </c>
      <c r="E68" s="6" t="s">
        <v>390</v>
      </c>
      <c r="F68" s="6" t="s">
        <v>47</v>
      </c>
      <c r="G68" s="6" t="s">
        <v>486</v>
      </c>
      <c r="H68" s="6" t="s">
        <v>487</v>
      </c>
      <c r="I68" s="6" t="s">
        <v>488</v>
      </c>
      <c r="J68" s="7" t="s">
        <v>32</v>
      </c>
      <c r="K68" s="7" t="s">
        <v>32</v>
      </c>
      <c r="L68" s="7" t="s">
        <v>489</v>
      </c>
      <c r="M68" s="7" t="s">
        <v>34</v>
      </c>
      <c r="N68" s="7" t="s">
        <v>282</v>
      </c>
    </row>
    <row r="69" spans="1:14" ht="15" customHeight="1" x14ac:dyDescent="0.25">
      <c r="A69" s="6" t="s">
        <v>490</v>
      </c>
      <c r="B69" s="6" t="s">
        <v>380</v>
      </c>
      <c r="C69" s="6" t="s">
        <v>381</v>
      </c>
      <c r="D69" s="6" t="s">
        <v>491</v>
      </c>
      <c r="E69" s="6" t="s">
        <v>390</v>
      </c>
      <c r="F69" s="6" t="s">
        <v>47</v>
      </c>
      <c r="G69" s="6" t="s">
        <v>492</v>
      </c>
      <c r="H69" s="6" t="s">
        <v>493</v>
      </c>
      <c r="I69" s="6" t="s">
        <v>494</v>
      </c>
      <c r="J69" s="7" t="s">
        <v>32</v>
      </c>
      <c r="K69" s="7" t="s">
        <v>32</v>
      </c>
      <c r="L69" s="7" t="s">
        <v>489</v>
      </c>
      <c r="M69" s="7" t="s">
        <v>34</v>
      </c>
      <c r="N69" s="7" t="s">
        <v>282</v>
      </c>
    </row>
    <row r="70" spans="1:14" ht="15" customHeight="1" x14ac:dyDescent="0.25">
      <c r="A70" s="6" t="s">
        <v>495</v>
      </c>
      <c r="B70" s="6" t="s">
        <v>380</v>
      </c>
      <c r="C70" s="6" t="s">
        <v>381</v>
      </c>
      <c r="D70" s="6" t="s">
        <v>496</v>
      </c>
      <c r="E70" s="6" t="s">
        <v>390</v>
      </c>
      <c r="F70" s="6" t="s">
        <v>47</v>
      </c>
      <c r="G70" s="6" t="s">
        <v>497</v>
      </c>
      <c r="H70" s="6" t="s">
        <v>498</v>
      </c>
      <c r="I70" s="6" t="s">
        <v>499</v>
      </c>
      <c r="J70" s="7" t="s">
        <v>32</v>
      </c>
      <c r="K70" s="7" t="s">
        <v>32</v>
      </c>
      <c r="L70" s="7" t="s">
        <v>489</v>
      </c>
      <c r="M70" s="7" t="s">
        <v>34</v>
      </c>
      <c r="N70" s="7" t="s">
        <v>282</v>
      </c>
    </row>
    <row r="71" spans="1:14" ht="15" customHeight="1" x14ac:dyDescent="0.25">
      <c r="A71" s="6" t="s">
        <v>500</v>
      </c>
      <c r="B71" s="6" t="s">
        <v>380</v>
      </c>
      <c r="C71" s="6" t="s">
        <v>381</v>
      </c>
      <c r="D71" s="6" t="s">
        <v>501</v>
      </c>
      <c r="E71" s="6" t="s">
        <v>390</v>
      </c>
      <c r="F71" s="6" t="s">
        <v>502</v>
      </c>
      <c r="G71" s="6" t="s">
        <v>503</v>
      </c>
      <c r="H71" s="6" t="s">
        <v>504</v>
      </c>
      <c r="I71" s="6" t="s">
        <v>505</v>
      </c>
      <c r="J71" s="7" t="s">
        <v>32</v>
      </c>
      <c r="K71" s="7" t="s">
        <v>32</v>
      </c>
      <c r="L71" s="7" t="s">
        <v>489</v>
      </c>
      <c r="M71" s="7" t="s">
        <v>34</v>
      </c>
      <c r="N71" s="7" t="s">
        <v>282</v>
      </c>
    </row>
    <row r="72" spans="1:14" ht="15" customHeight="1" x14ac:dyDescent="0.25">
      <c r="A72" s="6" t="s">
        <v>506</v>
      </c>
      <c r="B72" s="6" t="s">
        <v>380</v>
      </c>
      <c r="C72" s="6" t="s">
        <v>381</v>
      </c>
      <c r="D72" s="6" t="s">
        <v>507</v>
      </c>
      <c r="E72" s="6" t="s">
        <v>390</v>
      </c>
      <c r="F72" s="6" t="s">
        <v>508</v>
      </c>
      <c r="G72" s="6" t="s">
        <v>509</v>
      </c>
      <c r="H72" s="6" t="s">
        <v>510</v>
      </c>
      <c r="I72" s="6" t="s">
        <v>511</v>
      </c>
      <c r="J72" s="7" t="s">
        <v>32</v>
      </c>
      <c r="K72" s="7" t="s">
        <v>32</v>
      </c>
      <c r="L72" s="7" t="s">
        <v>512</v>
      </c>
      <c r="M72" s="7" t="s">
        <v>34</v>
      </c>
      <c r="N72" s="7" t="s">
        <v>282</v>
      </c>
    </row>
    <row r="73" spans="1:14" ht="15" customHeight="1" x14ac:dyDescent="0.25">
      <c r="A73" s="6" t="s">
        <v>513</v>
      </c>
      <c r="B73" s="6" t="s">
        <v>380</v>
      </c>
      <c r="C73" s="6" t="s">
        <v>381</v>
      </c>
      <c r="D73" s="6" t="s">
        <v>514</v>
      </c>
      <c r="E73" s="6" t="s">
        <v>390</v>
      </c>
      <c r="F73" s="6" t="s">
        <v>515</v>
      </c>
      <c r="G73" s="6" t="s">
        <v>516</v>
      </c>
      <c r="H73" s="6" t="s">
        <v>517</v>
      </c>
      <c r="I73" s="6" t="s">
        <v>518</v>
      </c>
      <c r="J73" s="7" t="s">
        <v>32</v>
      </c>
      <c r="K73" s="7" t="s">
        <v>32</v>
      </c>
      <c r="L73" s="7" t="s">
        <v>519</v>
      </c>
      <c r="M73" s="7" t="s">
        <v>34</v>
      </c>
      <c r="N73" s="7" t="s">
        <v>282</v>
      </c>
    </row>
    <row r="74" spans="1:14" ht="15" customHeight="1" x14ac:dyDescent="0.25">
      <c r="A74" s="6" t="s">
        <v>520</v>
      </c>
      <c r="B74" s="6" t="s">
        <v>380</v>
      </c>
      <c r="C74" s="6" t="s">
        <v>521</v>
      </c>
      <c r="D74" s="6" t="s">
        <v>522</v>
      </c>
      <c r="E74" s="6" t="s">
        <v>390</v>
      </c>
      <c r="F74" s="6" t="s">
        <v>47</v>
      </c>
      <c r="G74" s="6" t="s">
        <v>523</v>
      </c>
      <c r="H74" s="6" t="s">
        <v>524</v>
      </c>
      <c r="I74" s="6" t="s">
        <v>525</v>
      </c>
      <c r="J74" s="7" t="s">
        <v>32</v>
      </c>
      <c r="K74" s="7" t="s">
        <v>32</v>
      </c>
      <c r="L74" s="7" t="s">
        <v>526</v>
      </c>
      <c r="M74" s="7" t="s">
        <v>34</v>
      </c>
      <c r="N74" s="7" t="s">
        <v>282</v>
      </c>
    </row>
    <row r="75" spans="1:14" ht="15" customHeight="1" x14ac:dyDescent="0.25">
      <c r="A75" s="6" t="s">
        <v>527</v>
      </c>
      <c r="B75" s="6" t="s">
        <v>380</v>
      </c>
      <c r="C75" s="6" t="s">
        <v>395</v>
      </c>
      <c r="D75" s="6" t="s">
        <v>528</v>
      </c>
      <c r="E75" s="6" t="s">
        <v>390</v>
      </c>
      <c r="F75" s="6" t="s">
        <v>47</v>
      </c>
      <c r="G75" s="6" t="s">
        <v>529</v>
      </c>
      <c r="H75" s="6" t="s">
        <v>530</v>
      </c>
      <c r="I75" s="6" t="s">
        <v>47</v>
      </c>
      <c r="J75" s="7" t="s">
        <v>32</v>
      </c>
      <c r="K75" s="7" t="s">
        <v>32</v>
      </c>
      <c r="L75" s="7" t="s">
        <v>531</v>
      </c>
      <c r="M75" s="7" t="s">
        <v>34</v>
      </c>
      <c r="N75" s="7" t="s">
        <v>282</v>
      </c>
    </row>
  </sheetData>
  <autoFilter ref="A1:N75">
    <filterColumn colId="10">
      <filters blank="1"/>
    </filterColumn>
  </autoFilter>
  <conditionalFormatting sqref="J2:K65 K66:K75">
    <cfRule type="cellIs" dxfId="55" priority="4" operator="equal">
      <formula>"OK"</formula>
    </cfRule>
    <cfRule type="cellIs" dxfId="54" priority="5" operator="equal">
      <formula>"Corrección"</formula>
    </cfRule>
  </conditionalFormatting>
  <conditionalFormatting sqref="J66:J75">
    <cfRule type="cellIs" dxfId="5" priority="1" operator="equal">
      <formula>"OK"</formula>
    </cfRule>
    <cfRule type="cellIs" dxfId="4" priority="2" operator="equal">
      <formula>"Corrección"</formula>
    </cfRule>
  </conditionalFormatting>
  <dataValidations count="1">
    <dataValidation type="list" allowBlank="1" sqref="J2:K75">
      <formula1>"OK,Corrección,Pendiente,No aplica"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8" style="1" customWidth="1"/>
    <col min="2" max="3" width="40" style="1" customWidth="1"/>
    <col min="4" max="4" width="50" style="1" customWidth="1"/>
    <col min="5" max="5" width="13" style="1" customWidth="1"/>
    <col min="6" max="6" width="36" style="1" customWidth="1"/>
    <col min="7" max="7" width="14" style="1" customWidth="1"/>
    <col min="8" max="8" width="12" style="1" customWidth="1"/>
  </cols>
  <sheetData>
    <row r="1" spans="1:8" ht="15" customHeight="1" x14ac:dyDescent="0.25">
      <c r="A1" s="5" t="s">
        <v>10</v>
      </c>
      <c r="B1" s="5" t="s">
        <v>532</v>
      </c>
      <c r="C1" s="5" t="s">
        <v>16</v>
      </c>
      <c r="D1" s="5" t="s">
        <v>17</v>
      </c>
      <c r="E1" s="5" t="s">
        <v>19</v>
      </c>
      <c r="F1" s="5" t="s">
        <v>20</v>
      </c>
      <c r="G1" s="5" t="s">
        <v>21</v>
      </c>
      <c r="H1" s="5" t="s">
        <v>22</v>
      </c>
    </row>
    <row r="2" spans="1:8" ht="15" customHeight="1" x14ac:dyDescent="0.25">
      <c r="A2" s="6" t="s">
        <v>533</v>
      </c>
      <c r="B2" s="6" t="s">
        <v>534</v>
      </c>
      <c r="C2" s="6" t="s">
        <v>535</v>
      </c>
      <c r="D2" s="6" t="s">
        <v>536</v>
      </c>
      <c r="E2" s="7" t="s">
        <v>32</v>
      </c>
      <c r="F2" s="7" t="s">
        <v>537</v>
      </c>
      <c r="G2" s="7"/>
      <c r="H2" s="7"/>
    </row>
    <row r="3" spans="1:8" ht="15" customHeight="1" x14ac:dyDescent="0.25">
      <c r="A3" s="6" t="s">
        <v>538</v>
      </c>
      <c r="B3" s="6" t="s">
        <v>539</v>
      </c>
      <c r="C3" s="6" t="s">
        <v>540</v>
      </c>
      <c r="D3" s="6" t="s">
        <v>541</v>
      </c>
      <c r="E3" s="7" t="s">
        <v>32</v>
      </c>
      <c r="F3" s="7" t="s">
        <v>542</v>
      </c>
      <c r="G3" s="7"/>
      <c r="H3" s="7"/>
    </row>
    <row r="4" spans="1:8" ht="23.85" customHeight="1" x14ac:dyDescent="0.25">
      <c r="A4" s="6" t="s">
        <v>543</v>
      </c>
      <c r="B4" s="6" t="s">
        <v>544</v>
      </c>
      <c r="C4" s="6" t="s">
        <v>545</v>
      </c>
      <c r="D4" s="6" t="s">
        <v>546</v>
      </c>
      <c r="E4" s="7" t="s">
        <v>152</v>
      </c>
      <c r="F4" s="7" t="s">
        <v>547</v>
      </c>
      <c r="G4" s="7"/>
      <c r="H4" s="7"/>
    </row>
    <row r="5" spans="1:8" ht="15" customHeight="1" x14ac:dyDescent="0.25">
      <c r="A5" s="6" t="s">
        <v>548</v>
      </c>
      <c r="B5" s="6" t="s">
        <v>549</v>
      </c>
      <c r="C5" s="6" t="s">
        <v>550</v>
      </c>
      <c r="D5" s="6" t="s">
        <v>551</v>
      </c>
      <c r="E5" s="7" t="s">
        <v>32</v>
      </c>
      <c r="F5" s="7" t="s">
        <v>552</v>
      </c>
      <c r="G5" s="7"/>
      <c r="H5" s="7"/>
    </row>
    <row r="6" spans="1:8" ht="15" customHeight="1" x14ac:dyDescent="0.25">
      <c r="A6" s="6" t="s">
        <v>553</v>
      </c>
      <c r="B6" s="6" t="s">
        <v>554</v>
      </c>
      <c r="C6" s="6" t="s">
        <v>550</v>
      </c>
      <c r="D6" s="6" t="s">
        <v>555</v>
      </c>
      <c r="E6" s="7" t="s">
        <v>32</v>
      </c>
      <c r="F6" s="7" t="s">
        <v>556</v>
      </c>
      <c r="G6" s="7"/>
      <c r="H6" s="7"/>
    </row>
    <row r="7" spans="1:8" ht="23.85" customHeight="1" x14ac:dyDescent="0.25">
      <c r="A7" s="6" t="s">
        <v>557</v>
      </c>
      <c r="B7" s="6" t="s">
        <v>558</v>
      </c>
      <c r="C7" s="6" t="s">
        <v>550</v>
      </c>
      <c r="D7" s="6" t="s">
        <v>559</v>
      </c>
      <c r="E7" s="7" t="s">
        <v>32</v>
      </c>
      <c r="F7" s="7" t="s">
        <v>560</v>
      </c>
      <c r="G7" s="7"/>
      <c r="H7" s="7"/>
    </row>
    <row r="8" spans="1:8" ht="15" customHeight="1" x14ac:dyDescent="0.25">
      <c r="A8" s="6" t="s">
        <v>561</v>
      </c>
      <c r="B8" s="6" t="s">
        <v>562</v>
      </c>
      <c r="C8" s="6" t="s">
        <v>563</v>
      </c>
      <c r="D8" s="6" t="s">
        <v>564</v>
      </c>
      <c r="E8" s="7" t="s">
        <v>32</v>
      </c>
      <c r="F8" s="7" t="s">
        <v>565</v>
      </c>
      <c r="G8" s="7"/>
      <c r="H8" s="7"/>
    </row>
  </sheetData>
  <dataValidations count="1">
    <dataValidation type="list" allowBlank="1" sqref="E2:E8">
      <formula1>"OK,Corrección,Pendiente,No aplica"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30" style="1" customWidth="1"/>
    <col min="2" max="2" width="80" style="1" customWidth="1"/>
    <col min="3" max="3" width="50" style="1" customWidth="1"/>
  </cols>
  <sheetData>
    <row r="1" spans="1:3" ht="15" customHeight="1" x14ac:dyDescent="0.25">
      <c r="A1" s="5" t="s">
        <v>566</v>
      </c>
      <c r="B1" s="5" t="s">
        <v>567</v>
      </c>
      <c r="C1" s="5" t="s">
        <v>568</v>
      </c>
    </row>
    <row r="2" spans="1:3" ht="15" customHeight="1" x14ac:dyDescent="0.25">
      <c r="A2" s="6" t="s">
        <v>569</v>
      </c>
      <c r="B2" s="6" t="s">
        <v>570</v>
      </c>
      <c r="C2" s="6" t="s">
        <v>571</v>
      </c>
    </row>
    <row r="3" spans="1:3" ht="23.85" customHeight="1" x14ac:dyDescent="0.25">
      <c r="A3" s="6" t="s">
        <v>572</v>
      </c>
      <c r="B3" s="6" t="s">
        <v>573</v>
      </c>
      <c r="C3" s="6" t="s">
        <v>574</v>
      </c>
    </row>
    <row r="4" spans="1:3" ht="15" customHeight="1" x14ac:dyDescent="0.25">
      <c r="A4" s="6" t="s">
        <v>575</v>
      </c>
      <c r="B4" s="6" t="s">
        <v>576</v>
      </c>
      <c r="C4" s="6" t="s">
        <v>577</v>
      </c>
    </row>
    <row r="5" spans="1:3" ht="23.85" customHeight="1" x14ac:dyDescent="0.25">
      <c r="A5" s="6" t="s">
        <v>578</v>
      </c>
      <c r="B5" s="6" t="s">
        <v>579</v>
      </c>
      <c r="C5" s="6" t="s">
        <v>580</v>
      </c>
    </row>
    <row r="6" spans="1:3" ht="15" customHeight="1" x14ac:dyDescent="0.25">
      <c r="A6" s="6" t="s">
        <v>581</v>
      </c>
      <c r="B6" s="6" t="s">
        <v>582</v>
      </c>
      <c r="C6" s="6" t="s">
        <v>583</v>
      </c>
    </row>
    <row r="7" spans="1:3" ht="15" customHeight="1" x14ac:dyDescent="0.25">
      <c r="A7" s="6" t="s">
        <v>584</v>
      </c>
      <c r="B7" s="6" t="s">
        <v>585</v>
      </c>
      <c r="C7" s="6" t="s">
        <v>47</v>
      </c>
    </row>
    <row r="8" spans="1:3" x14ac:dyDescent="0.25">
      <c r="A8" s="1" t="s">
        <v>586</v>
      </c>
      <c r="B8" s="1" t="s">
        <v>587</v>
      </c>
      <c r="C8" s="1" t="s">
        <v>580</v>
      </c>
    </row>
    <row r="9" spans="1:3" x14ac:dyDescent="0.25">
      <c r="A9" s="1" t="s">
        <v>588</v>
      </c>
      <c r="B9" s="1" t="s">
        <v>589</v>
      </c>
      <c r="C9" s="1" t="s">
        <v>590</v>
      </c>
    </row>
    <row r="10" spans="1:3" x14ac:dyDescent="0.25">
      <c r="A10" s="1" t="s">
        <v>591</v>
      </c>
      <c r="B10" s="1" t="s">
        <v>592</v>
      </c>
      <c r="C10" s="1" t="s">
        <v>590</v>
      </c>
    </row>
    <row r="11" spans="1:3" x14ac:dyDescent="0.25">
      <c r="A11" s="1" t="s">
        <v>593</v>
      </c>
      <c r="B11" s="1" t="s">
        <v>594</v>
      </c>
      <c r="C11" s="1" t="s">
        <v>595</v>
      </c>
    </row>
    <row r="12" spans="1:3" x14ac:dyDescent="0.25">
      <c r="A12" s="1" t="s">
        <v>596</v>
      </c>
      <c r="B12" s="1" t="s">
        <v>597</v>
      </c>
      <c r="C12" s="1" t="s">
        <v>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2" style="1" customWidth="1"/>
    <col min="2" max="3" width="10" style="1" customWidth="1"/>
    <col min="4" max="6" width="12" style="1" customWidth="1"/>
    <col min="7" max="7" width="14" style="1" customWidth="1"/>
    <col min="8" max="8" width="10" style="1" customWidth="1"/>
  </cols>
  <sheetData>
    <row r="1" spans="1:8" ht="15" customHeight="1" x14ac:dyDescent="0.25">
      <c r="A1" s="5" t="s">
        <v>11</v>
      </c>
      <c r="B1" s="5" t="s">
        <v>598</v>
      </c>
      <c r="C1" s="5" t="s">
        <v>32</v>
      </c>
      <c r="D1" s="5" t="s">
        <v>599</v>
      </c>
      <c r="E1" s="5" t="s">
        <v>152</v>
      </c>
      <c r="F1" s="5" t="s">
        <v>600</v>
      </c>
      <c r="G1" s="5" t="s">
        <v>601</v>
      </c>
      <c r="H1" s="5" t="s">
        <v>602</v>
      </c>
    </row>
    <row r="2" spans="1:8" ht="15" customHeight="1" x14ac:dyDescent="0.25">
      <c r="A2" s="8" t="s">
        <v>24</v>
      </c>
      <c r="B2" s="8">
        <f>COUNTIF('Casos de prueba'!$B$2:$B$200,A2)</f>
        <v>20</v>
      </c>
      <c r="C2" s="8">
        <f>COUNTIFS('Casos de prueba'!$B$2:$B$200,$A2,'Casos de prueba'!$J$2:$J$200,"OK")</f>
        <v>20</v>
      </c>
      <c r="D2" s="8">
        <f>COUNTIFS('Casos de prueba'!$B$2:$B$200,$A2,'Casos de prueba'!$J$2:$J$200,"Corrección")</f>
        <v>0</v>
      </c>
      <c r="E2" s="8">
        <f>COUNTIFS('Casos de prueba'!$B$2:$B$200,$A2,'Casos de prueba'!$J$2:$J$200,"Pendiente")</f>
        <v>0</v>
      </c>
      <c r="F2" s="8">
        <f>COUNTIFS('Casos de prueba'!$B$2:$B$200,$A2,'Casos de prueba'!$J$2:$J$200,"No aplica")</f>
        <v>0</v>
      </c>
      <c r="G2" s="8">
        <f>B2-SUM(C2:F2)</f>
        <v>0</v>
      </c>
      <c r="H2" s="9">
        <f>IF(B2=0,0,C2/B2)</f>
        <v>1</v>
      </c>
    </row>
    <row r="3" spans="1:8" ht="15" customHeight="1" x14ac:dyDescent="0.25">
      <c r="A3" s="8" t="s">
        <v>131</v>
      </c>
      <c r="B3" s="8">
        <f>COUNTIF('Casos de prueba'!$B$2:$B$200,A3)</f>
        <v>7</v>
      </c>
      <c r="C3" s="8">
        <f>COUNTIFS('Casos de prueba'!$B$2:$B$200,$A3,'Casos de prueba'!$J$2:$J$200,"OK")</f>
        <v>7</v>
      </c>
      <c r="D3" s="8">
        <f>COUNTIFS('Casos de prueba'!$B$2:$B$200,$A3,'Casos de prueba'!$J$2:$J$200,"Corrección")</f>
        <v>0</v>
      </c>
      <c r="E3" s="8">
        <f>COUNTIFS('Casos de prueba'!$B$2:$B$200,$A3,'Casos de prueba'!$J$2:$J$200,"Pendiente")</f>
        <v>0</v>
      </c>
      <c r="F3" s="8">
        <f>COUNTIFS('Casos de prueba'!$B$2:$B$200,$A3,'Casos de prueba'!$J$2:$J$200,"No aplica")</f>
        <v>0</v>
      </c>
      <c r="G3" s="8">
        <f>B3-SUM(C3:F3)</f>
        <v>0</v>
      </c>
      <c r="H3" s="9">
        <f>IF(B3=0,0,C3/B3)</f>
        <v>1</v>
      </c>
    </row>
    <row r="4" spans="1:8" ht="15" customHeight="1" x14ac:dyDescent="0.25">
      <c r="A4" s="8" t="s">
        <v>241</v>
      </c>
      <c r="B4" s="8">
        <f>COUNTIF('Casos de prueba'!$B$2:$B$200,A4)</f>
        <v>23</v>
      </c>
      <c r="C4" s="8">
        <f>COUNTIFS('Casos de prueba'!$B$2:$B$200,$A4,'Casos de prueba'!$J$2:$J$200,"OK")</f>
        <v>23</v>
      </c>
      <c r="D4" s="8">
        <f>COUNTIFS('Casos de prueba'!$B$2:$B$200,$A4,'Casos de prueba'!$J$2:$J$200,"Corrección")</f>
        <v>0</v>
      </c>
      <c r="E4" s="8">
        <f>COUNTIFS('Casos de prueba'!$B$2:$B$200,$A4,'Casos de prueba'!$J$2:$J$200,"Pendiente")</f>
        <v>0</v>
      </c>
      <c r="F4" s="8">
        <f>COUNTIFS('Casos de prueba'!$B$2:$B$200,$A4,'Casos de prueba'!$J$2:$J$200,"No aplica")</f>
        <v>0</v>
      </c>
      <c r="G4" s="8">
        <f>B4-SUM(C4:F4)</f>
        <v>0</v>
      </c>
      <c r="H4" s="9">
        <f>IF(B4=0,0,C4/B4)</f>
        <v>1</v>
      </c>
    </row>
    <row r="5" spans="1:8" ht="15" customHeight="1" x14ac:dyDescent="0.25">
      <c r="A5" s="8" t="s">
        <v>380</v>
      </c>
      <c r="B5" s="8">
        <f>COUNTIF('Casos de prueba'!$B$2:$B$200,A5)</f>
        <v>24</v>
      </c>
      <c r="C5" s="8">
        <f>COUNTIFS('Casos de prueba'!$B$2:$B$200,$A5,'Casos de prueba'!$J$2:$J$200,"OK")</f>
        <v>24</v>
      </c>
      <c r="D5" s="8">
        <f>COUNTIFS('Casos de prueba'!$B$2:$B$200,$A5,'Casos de prueba'!$J$2:$J$200,"Corrección")</f>
        <v>0</v>
      </c>
      <c r="E5" s="8">
        <f>COUNTIFS('Casos de prueba'!$B$2:$B$200,$A5,'Casos de prueba'!$J$2:$J$200,"Pendiente")</f>
        <v>0</v>
      </c>
      <c r="F5" s="8">
        <f>COUNTIFS('Casos de prueba'!$B$2:$B$200,$A5,'Casos de prueba'!$J$2:$J$200,"No aplica")</f>
        <v>0</v>
      </c>
      <c r="G5" s="8">
        <f>B5-SUM(C5:F5)</f>
        <v>0</v>
      </c>
      <c r="H5" s="9">
        <f>IF(B5=0,0,C5/B5)</f>
        <v>1</v>
      </c>
    </row>
    <row r="6" spans="1:8" ht="15" customHeight="1" x14ac:dyDescent="0.25">
      <c r="A6" s="10" t="s">
        <v>603</v>
      </c>
      <c r="B6" s="10">
        <f t="shared" ref="B6:G6" si="0">SUM(B2:B5)</f>
        <v>74</v>
      </c>
      <c r="C6" s="10">
        <f t="shared" si="0"/>
        <v>74</v>
      </c>
      <c r="D6" s="10">
        <f t="shared" si="0"/>
        <v>0</v>
      </c>
      <c r="E6" s="10">
        <f t="shared" si="0"/>
        <v>0</v>
      </c>
      <c r="F6" s="10">
        <f t="shared" si="0"/>
        <v>0</v>
      </c>
      <c r="G6" s="10">
        <f t="shared" si="0"/>
        <v>0</v>
      </c>
      <c r="H6" s="11">
        <f>IF(B6=0,0,C6/B6)</f>
        <v>1</v>
      </c>
    </row>
    <row r="7" spans="1:8" ht="15" customHeight="1" x14ac:dyDescent="0.25">
      <c r="A7" s="8"/>
      <c r="B7" s="8"/>
      <c r="C7" s="8"/>
      <c r="D7" s="8"/>
      <c r="E7" s="8"/>
      <c r="F7" s="8"/>
      <c r="G7" s="8"/>
      <c r="H7" s="8"/>
    </row>
    <row r="8" spans="1:8" ht="15" customHeight="1" x14ac:dyDescent="0.25">
      <c r="A8" s="8" t="s">
        <v>604</v>
      </c>
      <c r="B8" s="8">
        <f>COUNTA('Regresión acumulada'!$A$2:$A$8)</f>
        <v>7</v>
      </c>
      <c r="C8" s="8"/>
      <c r="D8" s="8"/>
      <c r="E8" s="8"/>
      <c r="F8" s="8"/>
      <c r="G8" s="8"/>
      <c r="H8" s="8"/>
    </row>
    <row r="9" spans="1:8" ht="15" customHeight="1" x14ac:dyDescent="0.25">
      <c r="A9" s="8" t="s">
        <v>605</v>
      </c>
      <c r="B9" s="8">
        <f>COUNTIF('Regresión acumulada'!$E$2:$E$8,"OK")</f>
        <v>6</v>
      </c>
      <c r="C9" s="8"/>
      <c r="D9" s="8"/>
      <c r="E9" s="8"/>
      <c r="F9" s="8"/>
      <c r="G9" s="8"/>
      <c r="H9" s="8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Casos de prueba</vt:lpstr>
      <vt:lpstr>Regresión acumulada</vt:lpstr>
      <vt:lpstr>Datos de prueba</vt:lpstr>
      <vt:lpstr>Resumen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cp:revision>0</cp:revision>
  <dcterms:created xsi:type="dcterms:W3CDTF">2026-10-24T19:19:49Z</dcterms:created>
  <dcterms:modified xsi:type="dcterms:W3CDTF">2026-10-26T23:42:58Z</dcterms:modified>
  <dc:language>en-US</dc:language>
</cp:coreProperties>
</file>