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Regresión acumulada" sheetId="3" state="visible" r:id="rId3"/>
    <sheet xmlns:r="http://schemas.openxmlformats.org/officeDocument/2006/relationships" name="Datos de prueba" sheetId="4" state="visible" r:id="rId4"/>
    <sheet xmlns:r="http://schemas.openxmlformats.org/officeDocument/2006/relationships" name="Resumen" sheetId="5" state="visible" r:id="rId5"/>
  </sheets>
  <definedNames>
    <definedName name="_xlnm._FilterDatabase" localSheetId="1" hidden="1">'Casos de prueba'!$A$1:$M$65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0" customWidth="1" style="11" min="1" max="1"/>
  </cols>
  <sheetData>
    <row r="1" ht="17.35" customHeight="1" s="12">
      <c r="A1" s="13" t="inlineStr">
        <is>
          <t>RQM Complemento módulo de Consulta de Logs + Marca de Oferta – T29 Casos de prueba</t>
        </is>
      </c>
    </row>
    <row r="2" ht="15" customHeight="1" s="12">
      <c r="A2" s="14" t="inlineStr">
        <is>
          <t>Rama: RQM-ComplementoLogs+SaleOff · BD de pruebas: GML0999\SQLEXPRESS01 · Sitio: https://localhost:6001 · Usuario: admin</t>
        </is>
      </c>
    </row>
    <row r="3" ht="15" customHeight="1" s="12">
      <c r="A3" s="14" t="n"/>
    </row>
    <row r="4" ht="15" customHeight="1" s="12">
      <c r="A4" s="15" t="inlineStr">
        <is>
          <t>Cómo usar:</t>
        </is>
      </c>
    </row>
    <row r="5" ht="15" customHeight="1" s="12">
      <c r="A5" s="14" t="inlineStr">
        <is>
          <t>1. Ejecutar los scripts de Despliegue en orden (01–19) en la BD de pruebas antes de iniciar.</t>
        </is>
      </c>
    </row>
    <row r="6" ht="15" customHeight="1" s="12">
      <c r="A6" s="14" t="inlineStr">
        <is>
          <t>2. Hoja 'Casos de prueba': llenar solo las columnas en amarillo: Resultado (lista: OK / Corrección / Pendiente / No aplica), Observaciones, Probado por y Fecha.</t>
        </is>
      </c>
    </row>
    <row r="7" ht="15" customHeight="1" s="12">
      <c r="A7" s="14" t="inlineStr">
        <is>
          <t>3. Hoja 'Regresión acumulada': repetir al final de la ejecución completa.</t>
        </is>
      </c>
    </row>
    <row r="8" ht="15" customHeight="1" s="12">
      <c r="A8" s="14" t="inlineStr">
        <is>
          <t>4. Hoja 'Datos de prueba': datos creados durante el RQM que se restauran o documentan en T30.</t>
        </is>
      </c>
    </row>
    <row r="9" ht="15" customHeight="1" s="12">
      <c r="A9" s="14" t="inlineStr">
        <is>
          <t>5. Hoja 'Resumen': se calcula sola.</t>
        </is>
      </c>
    </row>
    <row r="10" ht="15" customHeight="1" s="12">
      <c r="A10" s="14" t="n"/>
    </row>
    <row r="11" ht="15" customHeight="1" s="12">
      <c r="A11" s="14" t="inlineStr">
        <is>
          <t>Casos E1/E2 armados desde el plan de trabajo y los commits de la rama; contrastar con el detalle del Proyecto 'Desarrollos Promos Aldebaran' y completar si falta algo.</t>
        </is>
      </c>
    </row>
    <row r="12" ht="15" customHeight="1" s="12">
      <c r="A12" s="14" t="inlineStr">
        <is>
          <t>Fila de ejemplo de llenado: ID E3-01 → Resultado: OK · Observaciones: 'Conteo 12 = BD' · Probado por: Claude Chat · Fecha: 2026-10-25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1" min="1" max="1"/>
    <col width="8" customWidth="1" style="11" min="2" max="2"/>
    <col width="10" customWidth="1" style="11" min="3" max="3"/>
    <col width="32" customWidth="1" style="11" min="4" max="4"/>
    <col width="18" customWidth="1" style="11" min="5" max="5"/>
    <col width="26" customWidth="1" style="11" min="6" max="6"/>
    <col width="50" customWidth="1" style="11" min="7" max="8"/>
    <col width="42" customWidth="1" style="11" min="9" max="9"/>
    <col width="13" customWidth="1" style="11" min="10" max="10"/>
    <col width="36" customWidth="1" style="11" min="11" max="11"/>
    <col width="14" customWidth="1" style="11" min="12" max="12"/>
    <col width="12" customWidth="1" style="11" min="13" max="13"/>
  </cols>
  <sheetData>
    <row r="1" ht="15" customHeight="1" s="12">
      <c r="A1" s="16" t="inlineStr">
        <is>
          <t>ID</t>
        </is>
      </c>
      <c r="B1" s="16" t="inlineStr">
        <is>
          <t>Entrega</t>
        </is>
      </c>
      <c r="C1" s="16" t="inlineStr">
        <is>
          <t>Tarea</t>
        </is>
      </c>
      <c r="D1" s="16" t="inlineStr">
        <is>
          <t>Pantalla / objeto</t>
        </is>
      </c>
      <c r="E1" s="16" t="inlineStr">
        <is>
          <t>Rol</t>
        </is>
      </c>
      <c r="F1" s="16" t="inlineStr">
        <is>
          <t>Precondición</t>
        </is>
      </c>
      <c r="G1" s="16" t="inlineStr">
        <is>
          <t>Pasos</t>
        </is>
      </c>
      <c r="H1" s="16" t="inlineStr">
        <is>
          <t>Resultado esperado</t>
        </is>
      </c>
      <c r="I1" s="16" t="inlineStr">
        <is>
          <t>Verificación en BD</t>
        </is>
      </c>
      <c r="J1" s="16" t="inlineStr">
        <is>
          <t>Resultado</t>
        </is>
      </c>
      <c r="K1" s="16" t="inlineStr">
        <is>
          <t>Observaciones</t>
        </is>
      </c>
      <c r="L1" s="16" t="inlineStr">
        <is>
          <t>Probado por</t>
        </is>
      </c>
      <c r="M1" s="16" t="inlineStr">
        <is>
          <t>Fecha</t>
        </is>
      </c>
    </row>
    <row r="2" ht="57.45" customHeight="1" s="12">
      <c r="A2" s="17" t="inlineStr">
        <is>
          <t>E1-01</t>
        </is>
      </c>
      <c r="B2" s="17" t="inlineStr">
        <is>
          <t>E1</t>
        </is>
      </c>
      <c r="C2" s="17" t="inlineStr">
        <is>
          <t>T1</t>
        </is>
      </c>
      <c r="D2" s="17" t="inlineStr">
        <is>
          <t>BD - log.Logs / log.track</t>
        </is>
      </c>
      <c r="E2" s="17" t="inlineStr">
        <is>
          <t>DBA</t>
        </is>
      </c>
      <c r="F2" s="17" t="inlineStr">
        <is>
          <t>Script 01 ejecutado</t>
        </is>
      </c>
      <c r="G2" s="17" t="inlineStr">
        <is>
          <t>Ejecutar 01 - Indices Log y Track.sql dos veces.</t>
        </is>
      </c>
      <c r="H2" s="17" t="inlineStr">
        <is>
          <t>Sin errores; segunda ejecución no recrea nada.</t>
        </is>
      </c>
      <c r="I2" s="17" t="inlineStr">
        <is>
          <t>SELECT name FROM sys.indexes WHERE name IN ('IX_Logs_TimeStamp','IX_Logs_Template_TimeStamp','IX_track_Entity_Date','IX_track_Entity_Key'); -- 4 filas</t>
        </is>
      </c>
      <c r="J2" s="18" t="n"/>
      <c r="K2" s="18" t="n"/>
      <c r="L2" s="18" t="n"/>
      <c r="M2" s="18" t="n"/>
    </row>
    <row r="3" ht="35.05" customHeight="1" s="12">
      <c r="A3" s="17" t="inlineStr">
        <is>
          <t>E1-02</t>
        </is>
      </c>
      <c r="B3" s="17" t="inlineStr">
        <is>
          <t>E1</t>
        </is>
      </c>
      <c r="C3" s="17" t="inlineStr">
        <is>
          <t>T1</t>
        </is>
      </c>
      <c r="D3" s="17" t="inlineStr">
        <is>
          <t>Aplicación (escritura de logs)</t>
        </is>
      </c>
      <c r="E3" s="17" t="inlineStr">
        <is>
          <t>admin</t>
        </is>
      </c>
      <c r="F3" s="17" t="inlineStr">
        <is>
          <t>Índices creados</t>
        </is>
      </c>
      <c r="G3" s="17" t="inlineStr">
        <is>
          <t>Navegar la app y generar un error controlado; guardar un pedido.</t>
        </is>
      </c>
      <c r="H3" s="17" t="inlineStr">
        <is>
          <t>Serilog y Track siguen escribiendo sin errores.</t>
        </is>
      </c>
      <c r="I3" s="17" t="inlineStr">
        <is>
          <t>SELECT TOP 5 * FROM log.Logs ORDER BY TimeStamp DESC; SELECT TOP 5 * FROM log.track ORDER BY 1 DESC;</t>
        </is>
      </c>
      <c r="J3" s="18" t="n"/>
      <c r="K3" s="18" t="n"/>
      <c r="L3" s="18" t="n"/>
      <c r="M3" s="18" t="n"/>
    </row>
    <row r="4" ht="46.25" customHeight="1" s="12">
      <c r="A4" s="17" t="inlineStr">
        <is>
          <t>E1-03</t>
        </is>
      </c>
      <c r="B4" s="17" t="inlineStr">
        <is>
          <t>E1</t>
        </is>
      </c>
      <c r="C4" s="17" t="inlineStr">
        <is>
          <t>T2a</t>
        </is>
      </c>
      <c r="D4" s="17" t="inlineStr">
        <is>
          <t>Conexiones FTP / Autómata / SMTP</t>
        </is>
      </c>
      <c r="E4" s="17" t="inlineStr">
        <is>
          <t>admin</t>
        </is>
      </c>
      <c r="F4" s="17" t="inlineStr">
        <is>
          <t>—</t>
        </is>
      </c>
      <c r="G4" s="17" t="inlineStr">
        <is>
          <t>Editar la contraseña de FTP SERVIDOR-PRUEBA-T2, de la conexión del autómata y la clave SMTP; abrir el Track de cada una.</t>
        </is>
      </c>
      <c r="H4" s="17" t="inlineStr">
        <is>
          <t>Track muestra '********' y '******** (modificada)'; nunca el valor ni un hash.</t>
        </is>
      </c>
      <c r="I4" s="17" t="inlineStr">
        <is>
          <t>SELECT TOP 10 * FROM log.track WHERE ENTITY_NAME LIKE '%Connection%' OR ENTITY_NAME LIKE '%NotificationProvider%' ORDER BY 1 DESC;</t>
        </is>
      </c>
      <c r="J4" s="18" t="n"/>
      <c r="K4" s="18" t="n"/>
      <c r="L4" s="18" t="n"/>
      <c r="M4" s="18" t="n"/>
    </row>
    <row r="5" ht="23.85" customHeight="1" s="12">
      <c r="A5" s="17" t="inlineStr">
        <is>
          <t>E1-04</t>
        </is>
      </c>
      <c r="B5" s="17" t="inlineStr">
        <is>
          <t>E1</t>
        </is>
      </c>
      <c r="C5" s="17" t="inlineStr">
        <is>
          <t>T2a</t>
        </is>
      </c>
      <c r="D5" s="17" t="inlineStr">
        <is>
          <t>BD - histórico log.track</t>
        </is>
      </c>
      <c r="E5" s="17" t="inlineStr">
        <is>
          <t>DBA</t>
        </is>
      </c>
      <c r="F5" s="17" t="inlineStr">
        <is>
          <t>Script 02 ejecutado</t>
        </is>
      </c>
      <c r="G5" s="17" t="inlineStr">
        <is>
          <t>Ejecutar 02 - Ofuscar historico Track.sql (re-ejecutable).</t>
        </is>
      </c>
      <c r="H5" s="17" t="inlineStr">
        <is>
          <t>No quedan contraseñas en claro en el histórico.</t>
        </is>
      </c>
      <c r="I5" s="17" t="inlineStr">
        <is>
          <t>Buscar en log.track textos de clave conocidos (ej. clave SMTP anterior): 0 filas.</t>
        </is>
      </c>
      <c r="J5" s="18" t="n"/>
      <c r="K5" s="18" t="n"/>
      <c r="L5" s="18" t="n"/>
      <c r="M5" s="18" t="n"/>
    </row>
    <row r="6" ht="57.45" customHeight="1" s="12">
      <c r="A6" s="17" t="inlineStr">
        <is>
          <t>E1-05</t>
        </is>
      </c>
      <c r="B6" s="17" t="inlineStr">
        <is>
          <t>E1</t>
        </is>
      </c>
      <c r="C6" s="17" t="inlineStr">
        <is>
          <t>T2b</t>
        </is>
      </c>
      <c r="D6" s="17" t="inlineStr">
        <is>
          <t>Track - 19 entidades ITrackeable</t>
        </is>
      </c>
      <c r="E6" s="17" t="inlineStr">
        <is>
          <t>admin</t>
        </is>
      </c>
      <c r="F6" s="17" t="inlineStr">
        <is>
          <t>—</t>
        </is>
      </c>
      <c r="G6" s="17" t="inlineStr">
        <is>
          <t>Ejecutar una acción por entidad (cierre/modificación de pedido, modificación de reserva, despacho, traslado, OC, ajuste OC, tolerancias, alarma de tránsito, usuarios-alarma, notificaciones, patrones y destinatarios del autómata, conexiones).</t>
        </is>
      </c>
      <c r="H6" s="17" t="inlineStr">
        <is>
          <t>Cada acción genera su movimiento en Track con usuario y fecha.</t>
        </is>
      </c>
      <c r="I6" s="17" t="inlineStr">
        <is>
          <t>Scripts\Pruebas 04 - Pruebas T2 Track.sql</t>
        </is>
      </c>
      <c r="J6" s="18" t="n"/>
      <c r="K6" s="18" t="n"/>
      <c r="L6" s="18" t="n"/>
      <c r="M6" s="18" t="n"/>
    </row>
    <row r="7" ht="23.85" customHeight="1" s="12">
      <c r="A7" s="17" t="inlineStr">
        <is>
          <t>E1-06</t>
        </is>
      </c>
      <c r="B7" s="17" t="inlineStr">
        <is>
          <t>E1</t>
        </is>
      </c>
      <c r="C7" s="17" t="inlineStr">
        <is>
          <t>T3</t>
        </is>
      </c>
      <c r="D7" s="17" t="inlineStr">
        <is>
          <t>BD - consulta de visualización de alarmas</t>
        </is>
      </c>
      <c r="E7" s="17" t="inlineStr">
        <is>
          <t>DBA</t>
        </is>
      </c>
      <c r="F7" s="17" t="inlineStr">
        <is>
          <t>Script 03</t>
        </is>
      </c>
      <c r="G7" s="17" t="inlineStr">
        <is>
          <t>Ejecutar SP_GET_ALARM_LOG_TYPES y SP_GET_ALARM_LOG con rango de fechas.</t>
        </is>
      </c>
      <c r="H7" s="17" t="inlineStr">
        <is>
          <t>10 tipos; rango obligatorio; paginación con total.</t>
        </is>
      </c>
      <c r="I7" s="17" t="inlineStr">
        <is>
          <t>Pruebas P03 (21 casos)</t>
        </is>
      </c>
      <c r="J7" s="18" t="n"/>
      <c r="K7" s="18" t="n"/>
      <c r="L7" s="18" t="n"/>
      <c r="M7" s="18" t="n"/>
    </row>
    <row r="8" ht="46.25" customHeight="1" s="12">
      <c r="A8" s="17" t="inlineStr">
        <is>
          <t>E1-07</t>
        </is>
      </c>
      <c r="B8" s="17" t="inlineStr">
        <is>
          <t>E1</t>
        </is>
      </c>
      <c r="C8" s="17" t="inlineStr">
        <is>
          <t>T3b</t>
        </is>
      </c>
      <c r="D8" s="17" t="inlineStr">
        <is>
          <t>Alarmas de inventario - ciclo de vida</t>
        </is>
      </c>
      <c r="E8" s="17" t="inlineStr">
        <is>
          <t>admin</t>
        </is>
      </c>
      <c r="F8" s="17" t="inlineStr">
        <is>
          <t>Script 04; referencia con mínimo</t>
        </is>
      </c>
      <c r="G8" s="17" t="inlineStr">
        <is>
          <t>Bajar el disponible bajo el mínimo; volver a moverlo sin cambiar la cantidad; confirmar OC que repone.</t>
        </is>
      </c>
      <c r="H8" s="17" t="inlineStr">
        <is>
          <t>Nace una alarma; si la condición se repite se refresca y borra visualizaciones; muere al confirmar OC. Cada evento queda en INVENTORY_ALARM_LOG con estado anterior/nuevo y origen.</t>
        </is>
      </c>
      <c r="I8" s="17" t="inlineStr">
        <is>
          <t>SELECT TOP 20 * FROM dbo.INVENTORY_ALARM_LOG ORDER BY 1 DESC;</t>
        </is>
      </c>
      <c r="J8" s="18" t="n"/>
      <c r="K8" s="18" t="n"/>
      <c r="L8" s="18" t="n"/>
      <c r="M8" s="18" t="n"/>
    </row>
    <row r="9" ht="35.05" customHeight="1" s="12">
      <c r="A9" s="17" t="inlineStr">
        <is>
          <t>E1-08</t>
        </is>
      </c>
      <c r="B9" s="17" t="inlineStr">
        <is>
          <t>E1</t>
        </is>
      </c>
      <c r="C9" s="17" t="inlineStr">
        <is>
          <t>T3b</t>
        </is>
      </c>
      <c r="D9" s="17" t="inlineStr">
        <is>
          <t>Alarma bodega local</t>
        </is>
      </c>
      <c r="E9" s="17" t="inlineStr">
        <is>
          <t>admin</t>
        </is>
      </c>
      <c r="F9" s="17" t="inlineStr">
        <is>
          <t>Referencia con mínimo en Bodega Local</t>
        </is>
      </c>
      <c r="G9" s="17" t="inlineStr">
        <is>
          <t>Mover inventario de Bodega Local bajo el mínimo.</t>
        </is>
      </c>
      <c r="H9" s="17" t="inlineStr">
        <is>
          <t>Solo evalúa Bodega Local; refresca y registra log igual que las demás.</t>
        </is>
      </c>
      <c r="I9" s="17" t="inlineStr">
        <is>
          <t>INVENTORY_ALARM_LOG con ALARM_TYPE_CODE = 'MINIMUM_LOCAL_WAREHOUSE'</t>
        </is>
      </c>
      <c r="J9" s="18" t="n"/>
      <c r="K9" s="18" t="n"/>
      <c r="L9" s="18" t="n"/>
      <c r="M9" s="18" t="n"/>
    </row>
    <row r="10" ht="23.85" customHeight="1" s="12">
      <c r="A10" s="17" t="inlineStr">
        <is>
          <t>E1-09</t>
        </is>
      </c>
      <c r="B10" s="17" t="inlineStr">
        <is>
          <t>E1</t>
        </is>
      </c>
      <c r="C10" s="17" t="inlineStr">
        <is>
          <t>T3c</t>
        </is>
      </c>
      <c r="D10" s="17" t="inlineStr">
        <is>
          <t>Job 'Verificacion Alarmas'</t>
        </is>
      </c>
      <c r="E10" s="17" t="inlineStr">
        <is>
          <t>DBA</t>
        </is>
      </c>
      <c r="F10" s="17" t="inlineStr">
        <is>
          <t>Script 05 (permisos msdb)</t>
        </is>
      </c>
      <c r="G10" s="17" t="inlineStr">
        <is>
          <t>Ejecutar el job manualmente.</t>
        </is>
      </c>
      <c r="H10" s="17" t="inlineStr">
        <is>
          <t>Refrescos solo si cambió la cantidad; inactivaciones directas con origen 'Proceso programado - depuración'.</t>
        </is>
      </c>
      <c r="I10" s="17" t="inlineStr">
        <is>
          <t>Pruebas P04 (J1–J3)</t>
        </is>
      </c>
      <c r="J10" s="18" t="n"/>
      <c r="K10" s="18" t="n"/>
      <c r="L10" s="18" t="n"/>
      <c r="M10" s="18" t="n"/>
    </row>
    <row r="11" ht="23.85" customHeight="1" s="12">
      <c r="A11" s="17" t="inlineStr">
        <is>
          <t>E1-10</t>
        </is>
      </c>
      <c r="B11" s="17" t="inlineStr">
        <is>
          <t>E1</t>
        </is>
      </c>
      <c r="C11" s="17" t="inlineStr">
        <is>
          <t>T4/T5</t>
        </is>
      </c>
      <c r="D11" s="17" t="inlineStr">
        <is>
          <t>Consulta de Log &gt; Visualización de alarmas (Órdenes, Pedidos, Reservas)</t>
        </is>
      </c>
      <c r="E11" s="17" t="inlineStr">
        <is>
          <t>Rol de cada contexto</t>
        </is>
      </c>
      <c r="F11" s="17" t="inlineStr">
        <is>
          <t>Script 06</t>
        </is>
      </c>
      <c r="G11" s="17" t="inlineStr">
        <is>
          <t>Abrir cada contexto; filtrar por fechas y texto; abrir el diálogo de visualizaciones. Abrir un contexto sin rol.</t>
        </is>
      </c>
      <c r="H11" s="17" t="inlineStr">
        <is>
          <t>Totales = SP; diálogo con quién y cuándo visualizó. Sin rol: /unauthorized.</t>
        </is>
      </c>
      <c r="I11" s="17" t="inlineStr">
        <is>
          <t>Pruebas P05</t>
        </is>
      </c>
      <c r="J11" s="18" t="n"/>
      <c r="K11" s="18" t="n"/>
      <c r="L11" s="18" t="n"/>
      <c r="M11" s="18" t="n"/>
    </row>
    <row r="12" ht="35.05" customHeight="1" s="12">
      <c r="A12" s="17" t="inlineStr">
        <is>
          <t>E1-11</t>
        </is>
      </c>
      <c r="B12" s="17" t="inlineStr">
        <is>
          <t>E1</t>
        </is>
      </c>
      <c r="C12" s="17" t="inlineStr">
        <is>
          <t>T4/T5</t>
        </is>
      </c>
      <c r="D12" s="17" t="inlineStr">
        <is>
          <t>Log de inventarios &gt; Inactivaciones y refrescos</t>
        </is>
      </c>
      <c r="E12" s="17" t="inlineStr">
        <is>
          <t>Log de inventarios</t>
        </is>
      </c>
      <c r="F12" s="17" t="inlineStr">
        <is>
          <t>—</t>
        </is>
      </c>
      <c r="G12" s="17" t="inlineStr">
        <is>
          <t>Filtrar por tipo de alarma, evento, fechas y texto.</t>
        </is>
      </c>
      <c r="H12" s="17" t="inlineStr">
        <is>
          <t>Muestra estado anterior → nuevo y origen; totales = BD.</t>
        </is>
      </c>
      <c r="I12" s="17" t="inlineStr">
        <is>
          <t>SELECT COUNT(*) FROM dbo.INVENTORY_ALARM_LOG WHERE EVENT_DATE BETWEEN ...</t>
        </is>
      </c>
      <c r="J12" s="18" t="n"/>
      <c r="K12" s="18" t="n"/>
      <c r="L12" s="18" t="n"/>
      <c r="M12" s="18" t="n"/>
    </row>
    <row r="13" ht="35.05" customHeight="1" s="12">
      <c r="A13" s="17" t="inlineStr">
        <is>
          <t>E1-12</t>
        </is>
      </c>
      <c r="B13" s="17" t="inlineStr">
        <is>
          <t>E1</t>
        </is>
      </c>
      <c r="C13" s="17" t="inlineStr">
        <is>
          <t>T6/T7</t>
        </is>
      </c>
      <c r="D13" s="17" t="inlineStr">
        <is>
          <t>Log del sistema &gt; Track</t>
        </is>
      </c>
      <c r="E13" s="17" t="inlineStr">
        <is>
          <t>Log del sistema</t>
        </is>
      </c>
      <c r="F13" s="17" t="inlineStr">
        <is>
          <t>Scripts 07, 08</t>
        </is>
      </c>
      <c r="G13" s="17" t="inlineStr">
        <is>
          <t>Buscar por objeto (pedido 39471) sin entidad; buscar por entidad sin objeto; aplicar fechas, acción y usuario; abrir detalle.</t>
        </is>
      </c>
      <c r="H13" s="17" t="inlineStr">
        <is>
          <t>Movimientos de todas las entidades del pedido; detalle campo/anterior/nuevo con cambios resaltados y descripción de Id.</t>
        </is>
      </c>
      <c r="I13" s="17" t="inlineStr">
        <is>
          <t>Pruebas P06</t>
        </is>
      </c>
      <c r="J13" s="18" t="n"/>
      <c r="K13" s="18" t="n"/>
      <c r="L13" s="18" t="n"/>
      <c r="M13" s="18" t="n"/>
    </row>
    <row r="14" ht="35.05" customHeight="1" s="12">
      <c r="A14" s="17" t="inlineStr">
        <is>
          <t>E1-13</t>
        </is>
      </c>
      <c r="B14" s="17" t="inlineStr">
        <is>
          <t>E1</t>
        </is>
      </c>
      <c r="C14" s="17" t="inlineStr">
        <is>
          <t>T6c</t>
        </is>
      </c>
      <c r="D14" s="17" t="inlineStr">
        <is>
          <t>Track - nombres en español</t>
        </is>
      </c>
      <c r="E14" s="17" t="inlineStr">
        <is>
          <t>Log del sistema</t>
        </is>
      </c>
      <c r="F14" s="17" t="inlineStr">
        <is>
          <t>Script 09</t>
        </is>
      </c>
      <c r="G14" s="17" t="inlineStr">
        <is>
          <t>Abrir el detalle de un movimiento; activar 'Ver campos técnicos'.</t>
        </is>
      </c>
      <c r="H14" s="17" t="inlineStr">
        <is>
          <t>Campos en español (técnico en tooltip); 'Pedido especial', 'Precio bomba' traducidos; técnicos ocultos por defecto.</t>
        </is>
      </c>
      <c r="I14" s="17" t="inlineStr">
        <is>
          <t>SELECT * FROM dbo.LOG_TRACK_FIELD_NAMES WHERE FIELD_NAME IN ('IsSpecialOrder','IsBombPrice');</t>
        </is>
      </c>
      <c r="J14" s="18" t="n"/>
      <c r="K14" s="18" t="n"/>
      <c r="L14" s="18" t="n"/>
      <c r="M14" s="18" t="n"/>
    </row>
    <row r="15" ht="35.05" customHeight="1" s="12">
      <c r="A15" s="17" t="inlineStr">
        <is>
          <t>E1-14</t>
        </is>
      </c>
      <c r="B15" s="17" t="inlineStr">
        <is>
          <t>E1</t>
        </is>
      </c>
      <c r="C15" s="17" t="inlineStr">
        <is>
          <t>T8</t>
        </is>
      </c>
      <c r="D15" s="17" t="inlineStr">
        <is>
          <t>Artículos &gt; Editar - Precio bomba</t>
        </is>
      </c>
      <c r="E15" s="17" t="inlineStr">
        <is>
          <t>admin</t>
        </is>
      </c>
      <c r="F15" s="17" t="inlineStr">
        <is>
          <t>Script 14</t>
        </is>
      </c>
      <c r="G15" s="17" t="inlineStr">
        <is>
          <t>Marcar Precio bomba en un artículo; luego marcar Oferta; probar un nombre que supere 50 caracteres con el sufijo.</t>
        </is>
      </c>
      <c r="H15" s="17" t="inlineStr">
        <is>
          <t>Sufijo ' - $ BOMBA'; Oferta y Precio bomba excluyentes (cambia el sufijo); mensaje si supera 50 caracteres. Sigue generando alarmas y preorden.</t>
        </is>
      </c>
      <c r="I15" s="17" t="inlineStr">
        <is>
          <t>SELECT ITEM_NAME, IS_BOMB_PRICE, IS_SALE_OFF FROM items WHERE ITEM_ID = 2554;</t>
        </is>
      </c>
      <c r="J15" s="18" t="n"/>
      <c r="K15" s="18" t="n"/>
      <c r="L15" s="18" t="n"/>
      <c r="M15" s="18" t="n"/>
    </row>
    <row r="16" ht="23.85" customHeight="1" s="12">
      <c r="A16" s="17" t="inlineStr">
        <is>
          <t>E1-15</t>
        </is>
      </c>
      <c r="B16" s="17" t="inlineStr">
        <is>
          <t>E1</t>
        </is>
      </c>
      <c r="C16" s="17" t="inlineStr">
        <is>
          <t>T9</t>
        </is>
      </c>
      <c r="D16" s="17" t="inlineStr">
        <is>
          <t>Tablero &gt; Cantidades mínimas (diálogo de inventario)</t>
        </is>
      </c>
      <c r="E16" s="17" t="inlineStr">
        <is>
          <t>admin</t>
        </is>
      </c>
      <c r="F16" s="17" t="inlineStr">
        <is>
          <t>HO-13 / ASTON-STY con Precio bomba y en alarma</t>
        </is>
      </c>
      <c r="G16" s="17" t="inlineStr">
        <is>
          <t>Abrir el diálogo de inventario de la alarma (con y sin imagen).</t>
        </is>
      </c>
      <c r="H16" s="17" t="inlineStr">
        <is>
          <t>Etiqueta '$ BOMBA' sobre la imagen o en el espacio vacío.</t>
        </is>
      </c>
      <c r="I16" s="17" t="inlineStr">
        <is>
          <t>—</t>
        </is>
      </c>
      <c r="J16" s="18" t="n"/>
      <c r="K16" s="18" t="n"/>
      <c r="L16" s="18" t="n"/>
      <c r="M16" s="18" t="n"/>
    </row>
    <row r="17" ht="23.85" customHeight="1" s="12">
      <c r="A17" s="17" t="inlineStr">
        <is>
          <t>E1-16</t>
        </is>
      </c>
      <c r="B17" s="17" t="inlineStr">
        <is>
          <t>E1</t>
        </is>
      </c>
      <c r="C17" s="17" t="inlineStr">
        <is>
          <t>T9</t>
        </is>
      </c>
      <c r="D17" s="17" t="inlineStr">
        <is>
          <t>Correo de cantidades mínimas (Excel)</t>
        </is>
      </c>
      <c r="E17" s="17" t="inlineStr">
        <is>
          <t>admin</t>
        </is>
      </c>
      <c r="F17" s="17" t="inlineStr">
        <is>
          <t>Cola RabbitMQ / NotificationProcessor activos</t>
        </is>
      </c>
      <c r="G17" s="17" t="inlineStr">
        <is>
          <t>Disparar el envío periódico; abrir el Excel adjunto.</t>
        </is>
      </c>
      <c r="H17" s="17" t="inlineStr">
        <is>
          <t>La marca $ BOMBA aparece sobre la imagen de los artículos marcados.</t>
        </is>
      </c>
      <c r="I17" s="17" t="inlineStr">
        <is>
          <t>Pendiente desde E1: verificar el Excel recibido.</t>
        </is>
      </c>
      <c r="J17" s="18" t="n"/>
      <c r="K17" s="18" t="n"/>
      <c r="L17" s="18" t="n"/>
      <c r="M17" s="18" t="n"/>
    </row>
    <row r="18" ht="35.05" customHeight="1" s="12">
      <c r="A18" s="17" t="inlineStr">
        <is>
          <t>E2-01</t>
        </is>
      </c>
      <c r="B18" s="17" t="inlineStr">
        <is>
          <t>E2</t>
        </is>
      </c>
      <c r="C18" s="17" t="inlineStr">
        <is>
          <t>T10–T13</t>
        </is>
      </c>
      <c r="D18" s="17" t="inlineStr">
        <is>
          <t>Log de pedidos &gt; Modificación/Cancelación de despachos y traslados a proceso</t>
        </is>
      </c>
      <c r="E18" s="17" t="inlineStr">
        <is>
          <t>Log de pedidos</t>
        </is>
      </c>
      <c r="F18" s="17" t="inlineStr">
        <is>
          <t>Script 10</t>
        </is>
      </c>
      <c r="G18" s="17" t="inlineStr">
        <is>
          <t>Abrir las 4 pantallas con un rango amplio; buscar por pedido; abrir el enlace al pedido.</t>
        </is>
      </c>
      <c r="H18" s="17" t="inlineStr">
        <is>
          <t>Totales = BD (referencia 67, 125, 10.153, 330 a la fecha de prueba); enlace abre el detalle.</t>
        </is>
      </c>
      <c r="I18" s="17" t="inlineStr">
        <is>
          <t>SELECT COUNT(*) FROM &lt;tabla de log&gt; WHERE fecha BETWEEN ...</t>
        </is>
      </c>
      <c r="J18" s="18" t="n"/>
      <c r="K18" s="18" t="n"/>
      <c r="L18" s="18" t="n"/>
      <c r="M18" s="18" t="n"/>
    </row>
    <row r="19" ht="35.05" customHeight="1" s="12">
      <c r="A19" s="17" t="inlineStr">
        <is>
          <t>E2-02</t>
        </is>
      </c>
      <c r="B19" s="17" t="inlineStr">
        <is>
          <t>E2</t>
        </is>
      </c>
      <c r="C19" s="17" t="inlineStr">
        <is>
          <t>T14a</t>
        </is>
      </c>
      <c r="D19" s="17" t="inlineStr">
        <is>
          <t>Log de órdenes &gt; Solicitudes de ajustes</t>
        </is>
      </c>
      <c r="E19" s="17" t="inlineStr">
        <is>
          <t>Log de ordenes de compra</t>
        </is>
      </c>
      <c r="F19" s="17" t="inlineStr">
        <is>
          <t>Script 11, 15</t>
        </is>
      </c>
      <c r="G19" s="17" t="inlineStr">
        <is>
          <t>Filtrar por fechas; revisar OC 742 (devuelto) y 752 (confirmada).</t>
        </is>
      </c>
      <c r="H19" s="17" t="inlineStr">
        <is>
          <t>Una fila por solicitud con resolución (En aprobación / Aprobada / Devuelta), quién y motivo. Estado correcto tras script 15.</t>
        </is>
      </c>
      <c r="I19" s="17" t="inlineStr">
        <is>
          <t>SELECT * FROM PURCHASE_ORDER_ADJUSTMENT_LOG WHERE PURCHASE_ORDER_ID IN (742,752);</t>
        </is>
      </c>
      <c r="J19" s="18" t="n"/>
      <c r="K19" s="18" t="n"/>
      <c r="L19" s="18" t="n"/>
      <c r="M19" s="18" t="n"/>
    </row>
    <row r="20" ht="35.05" customHeight="1" s="12">
      <c r="A20" s="17" t="inlineStr">
        <is>
          <t>E2-03</t>
        </is>
      </c>
      <c r="B20" s="17" t="inlineStr">
        <is>
          <t>E2</t>
        </is>
      </c>
      <c r="C20" s="17" t="inlineStr">
        <is>
          <t>T14b</t>
        </is>
      </c>
      <c r="D20" s="17" t="inlineStr">
        <is>
          <t>Log de órdenes &gt; Tolerancias de ajustes</t>
        </is>
      </c>
      <c r="E20" s="17" t="inlineStr">
        <is>
          <t>Log de ordenes de compra</t>
        </is>
      </c>
      <c r="F20" s="17" t="inlineStr">
        <is>
          <t>Script 11</t>
        </is>
      </c>
      <c r="G20" s="17" t="inlineStr">
        <is>
          <t>Revisar el cambio de tolerancia 351–400 a 0,06.</t>
        </is>
      </c>
      <c r="H20" s="17" t="inlineStr">
        <is>
          <t>Valor anterior y nuevo correctos; el último cambio toma el valor actual.</t>
        </is>
      </c>
      <c r="I20" s="17" t="inlineStr">
        <is>
          <t>SELECT * FROM PURCHASE_ORDER_APPROVAL_RANGE_LOG ORDER BY 1 DESC;</t>
        </is>
      </c>
      <c r="J20" s="18" t="n"/>
      <c r="K20" s="18" t="n"/>
      <c r="L20" s="18" t="n"/>
      <c r="M20" s="18" t="n"/>
    </row>
    <row r="21" ht="23.85" customHeight="1" s="12">
      <c r="A21" s="17" t="inlineStr">
        <is>
          <t>E2-04</t>
        </is>
      </c>
      <c r="B21" s="17" t="inlineStr">
        <is>
          <t>E2</t>
        </is>
      </c>
      <c r="C21" s="17" t="inlineStr">
        <is>
          <t>T15/T16</t>
        </is>
      </c>
      <c r="D21" s="17" t="inlineStr">
        <is>
          <t>Log del sistema &gt; Log general</t>
        </is>
      </c>
      <c r="E21" s="17" t="inlineStr">
        <is>
          <t>Log del sistema</t>
        </is>
      </c>
      <c r="F21" s="17" t="inlineStr">
        <is>
          <t>Script 12</t>
        </is>
      </c>
      <c r="G21" s="17" t="inlineStr">
        <is>
          <t>Filtrar por fecha, nivel, origen y texto; abrir ocurrencias y detalle técnico.</t>
        </is>
      </c>
      <c r="H21" s="17" t="inlineStr">
        <is>
          <t>Grupos por plantilla con ocurrencias, primera y última fecha; detalle con excepción y propiedades.</t>
        </is>
      </c>
      <c r="I21" s="17" t="inlineStr">
        <is>
          <t>SELECT COUNT(*) FROM log.Logs WHERE TimeStamp &gt;= ...</t>
        </is>
      </c>
      <c r="J21" s="18" t="n"/>
      <c r="K21" s="18" t="n"/>
      <c r="L21" s="18" t="n"/>
      <c r="M21" s="18" t="n"/>
    </row>
    <row r="22" ht="35.05" customHeight="1" s="12">
      <c r="A22" s="17" t="inlineStr">
        <is>
          <t>E2-05</t>
        </is>
      </c>
      <c r="B22" s="17" t="inlineStr">
        <is>
          <t>E2</t>
        </is>
      </c>
      <c r="C22" s="17" t="inlineStr">
        <is>
          <t>T15b</t>
        </is>
      </c>
      <c r="D22" s="17" t="inlineStr">
        <is>
          <t>Log general - Autómata de existencias</t>
        </is>
      </c>
      <c r="E22" s="17" t="inlineStr">
        <is>
          <t>Log del sistema</t>
        </is>
      </c>
      <c r="F22" s="17" t="inlineStr">
        <is>
          <t>Script 13 + NLog.config del autómata</t>
        </is>
      </c>
      <c r="G22" s="17" t="inlineStr">
        <is>
          <t>Ejecutar el autómata; filtrar origen 'AutomataExistencias'.</t>
        </is>
      </c>
      <c r="H22" s="17" t="inlineStr">
        <is>
          <t>Mensajes del autómata agrupados, niveles Information/Warning.</t>
        </is>
      </c>
      <c r="I22" s="17" t="inlineStr">
        <is>
          <t>SELECT TOP 10 * FROM log.Logs WHERE ... 'AutomataExistencias' ORDER BY TimeStamp DESC;</t>
        </is>
      </c>
      <c r="J22" s="18" t="n"/>
      <c r="K22" s="18" t="n"/>
      <c r="L22" s="18" t="n"/>
      <c r="M22" s="18" t="n"/>
    </row>
    <row r="23" ht="35.05" customHeight="1" s="12">
      <c r="A23" s="17" t="inlineStr">
        <is>
          <t>E2-06</t>
        </is>
      </c>
      <c r="B23" s="17" t="inlineStr">
        <is>
          <t>E2</t>
        </is>
      </c>
      <c r="C23" s="17" t="inlineStr">
        <is>
          <t>T18</t>
        </is>
      </c>
      <c r="D23" s="17" t="inlineStr">
        <is>
          <t>Deuda 4 - estado en log de ajustes</t>
        </is>
      </c>
      <c r="E23" s="17" t="inlineStr">
        <is>
          <t>DBA</t>
        </is>
      </c>
      <c r="F23" s="17" t="inlineStr">
        <is>
          <t>Script 15</t>
        </is>
      </c>
      <c r="G23" s="17" t="inlineStr">
        <is>
          <t>Confirmar una OC con ajustes aprobados.</t>
        </is>
      </c>
      <c r="H23" s="17" t="inlineStr">
        <is>
          <t>El log registra el estado nuevo (Confirmada).</t>
        </is>
      </c>
      <c r="I23" s="17" t="inlineStr">
        <is>
          <t>SELECT TOP 5 * FROM PURCHASE_ORDER_ADJUSTMENT_LOG ORDER BY 1 DESC;</t>
        </is>
      </c>
      <c r="J23" s="18" t="n"/>
      <c r="K23" s="18" t="n"/>
      <c r="L23" s="18" t="n"/>
      <c r="M23" s="18" t="n"/>
    </row>
    <row r="24" ht="35.05" customHeight="1" s="12">
      <c r="A24" s="17" t="inlineStr">
        <is>
          <t>E3-01</t>
        </is>
      </c>
      <c r="B24" s="17" t="inlineStr">
        <is>
          <t>E3</t>
        </is>
      </c>
      <c r="C24" s="17" t="inlineStr">
        <is>
          <t>T19</t>
        </is>
      </c>
      <c r="D24" s="17" t="inlineStr">
        <is>
          <t>OC - edición sin cambio de cantidad</t>
        </is>
      </c>
      <c r="E24" s="17" t="inlineStr">
        <is>
          <t>admin</t>
        </is>
      </c>
      <c r="F24" s="17" t="inlineStr">
        <is>
          <t>Referencia en alarma con visualizaciones</t>
        </is>
      </c>
      <c r="G24" s="17" t="inlineStr">
        <is>
          <t>Editar la OC sin cambiar cantidades.</t>
        </is>
      </c>
      <c r="H24" s="17" t="inlineStr">
        <is>
          <t>La alarma activa no se refresca y conserva sus visualizaciones.</t>
        </is>
      </c>
      <c r="I24" s="17" t="inlineStr">
        <is>
          <t>SELECT * FROM visualized_minimum_quantity_alarms WHERE MINIMUM_QUANTITY_ALARM_ID = ...</t>
        </is>
      </c>
      <c r="J24" s="18" t="n"/>
      <c r="K24" s="18" t="n"/>
      <c r="L24" s="18" t="n"/>
      <c r="M24" s="18" t="n"/>
    </row>
    <row r="25" ht="23.85" customHeight="1" s="12">
      <c r="A25" s="17" t="inlineStr">
        <is>
          <t>E3-02</t>
        </is>
      </c>
      <c r="B25" s="17" t="inlineStr">
        <is>
          <t>E3</t>
        </is>
      </c>
      <c r="C25" s="17" t="inlineStr">
        <is>
          <t>T20</t>
        </is>
      </c>
      <c r="D25" s="17" t="inlineStr">
        <is>
          <t>Reportes &gt; Artículos y referencias</t>
        </is>
      </c>
      <c r="E25" s="17" t="inlineStr">
        <is>
          <t>admin</t>
        </is>
      </c>
      <c r="F25" s="17" t="inlineStr">
        <is>
          <t>Script 16</t>
        </is>
      </c>
      <c r="G25" s="17" t="inlineStr">
        <is>
          <t>Probar las 10 condiciones de tres estados (Sí, No, Todos) y el resumen 'Condición: Sí/No'.</t>
        </is>
      </c>
      <c r="H25" s="17" t="inlineStr">
        <is>
          <t>Conteos = BD por cada condición.</t>
        </is>
      </c>
      <c r="I25" s="17" t="inlineStr">
        <is>
          <t>Consultas de conteo por IS_ACTIVE, IS_BOMB_PRICE, etc.</t>
        </is>
      </c>
      <c r="J25" s="18" t="n"/>
      <c r="K25" s="18" t="n"/>
      <c r="L25" s="18" t="n"/>
      <c r="M25" s="18" t="n"/>
    </row>
    <row r="26" ht="15" customHeight="1" s="12">
      <c r="A26" s="17" t="inlineStr">
        <is>
          <t>E3-03</t>
        </is>
      </c>
      <c r="B26" s="17" t="inlineStr">
        <is>
          <t>E3</t>
        </is>
      </c>
      <c r="C26" s="17" t="inlineStr">
        <is>
          <t>T21</t>
        </is>
      </c>
      <c r="D26" s="17" t="inlineStr">
        <is>
          <t>Reportes &gt; Stock mínimo de bodega</t>
        </is>
      </c>
      <c r="E26" s="17" t="inlineStr">
        <is>
          <t>admin</t>
        </is>
      </c>
      <c r="F26" s="17" t="inlineStr">
        <is>
          <t>Script 16</t>
        </is>
      </c>
      <c r="G26" s="17" t="inlineStr">
        <is>
          <t>Precio bomba Sí/No/Todos.</t>
        </is>
      </c>
      <c r="H26" s="17" t="inlineStr">
        <is>
          <t>Conteos = BD.</t>
        </is>
      </c>
      <c r="I26" s="17" t="inlineStr">
        <is>
          <t>—</t>
        </is>
      </c>
      <c r="J26" s="18" t="n"/>
      <c r="K26" s="18" t="n"/>
      <c r="L26" s="18" t="n"/>
      <c r="M26" s="18" t="n"/>
    </row>
    <row r="27" ht="23.85" customHeight="1" s="12">
      <c r="A27" s="17" t="inlineStr">
        <is>
          <t>E3-04</t>
        </is>
      </c>
      <c r="B27" s="17" t="inlineStr">
        <is>
          <t>E3</t>
        </is>
      </c>
      <c r="C27" s="17" t="inlineStr">
        <is>
          <t>T22/T22b</t>
        </is>
      </c>
      <c r="D27" s="17" t="inlineStr">
        <is>
          <t>Reportes &gt; Movimiento de referencia</t>
        </is>
      </c>
      <c r="E27" s="17" t="inlineStr">
        <is>
          <t>admin</t>
        </is>
      </c>
      <c r="F27" s="17" t="inlineStr">
        <is>
          <t>Script 16</t>
        </is>
      </c>
      <c r="G27" s="17" t="inlineStr">
        <is>
          <t>Artículo activo / Referencia activa / Precio bomba en Sí, No y Todos (por defecto Sí/Sí/Todos).</t>
        </is>
      </c>
      <c r="H27" s="17" t="inlineStr">
        <is>
          <t>Conteos = BD (referencia: 6252 / 1100 / 483 / 24).</t>
        </is>
      </c>
      <c r="I27" s="17" t="inlineStr">
        <is>
          <t>—</t>
        </is>
      </c>
      <c r="J27" s="18" t="n"/>
      <c r="K27" s="18" t="n"/>
      <c r="L27" s="18" t="n"/>
      <c r="M27" s="18" t="n"/>
    </row>
    <row r="28" ht="23.85" customHeight="1" s="12">
      <c r="A28" s="17" t="inlineStr">
        <is>
          <t>E3-05</t>
        </is>
      </c>
      <c r="B28" s="17" t="inlineStr">
        <is>
          <t>E3</t>
        </is>
      </c>
      <c r="C28" s="17" t="inlineStr">
        <is>
          <t>T22</t>
        </is>
      </c>
      <c r="D28" s="17" t="inlineStr">
        <is>
          <t>Movimiento de referencia desde alarma</t>
        </is>
      </c>
      <c r="E28" s="17" t="inlineStr">
        <is>
          <t>admin</t>
        </is>
      </c>
      <c r="F28" s="17" t="inlineStr">
        <is>
          <t>Alarma de mínimos activa</t>
        </is>
      </c>
      <c r="G28" s="17" t="inlineStr">
        <is>
          <t>Abrir el reporte desde el diálogo de la alarma.</t>
        </is>
      </c>
      <c r="H28" s="17" t="inlineStr">
        <is>
          <t>Referencia bloqueada; Precio bomba deshabilitado; reporte correcto.</t>
        </is>
      </c>
      <c r="I28" s="17" t="inlineStr">
        <is>
          <t>Pendiente desde T22.</t>
        </is>
      </c>
      <c r="J28" s="18" t="n"/>
      <c r="K28" s="18" t="n"/>
      <c r="L28" s="18" t="n"/>
      <c r="M28" s="18" t="n"/>
    </row>
    <row r="29" ht="35.05" customHeight="1" s="12">
      <c r="A29" s="17" t="inlineStr">
        <is>
          <t>E3-06</t>
        </is>
      </c>
      <c r="B29" s="17" t="inlineStr">
        <is>
          <t>E3</t>
        </is>
      </c>
      <c r="C29" s="17" t="inlineStr">
        <is>
          <t>T23</t>
        </is>
      </c>
      <c r="D29" s="17" t="inlineStr">
        <is>
          <t>BD - Pedido especial</t>
        </is>
      </c>
      <c r="E29" s="17" t="inlineStr">
        <is>
          <t>DBA</t>
        </is>
      </c>
      <c r="F29" s="17" t="inlineStr">
        <is>
          <t>Script 17</t>
        </is>
      </c>
      <c r="G29" s="17" t="inlineStr">
        <is>
          <t>Ejecutar 17 dos veces.</t>
        </is>
      </c>
      <c r="H29" s="17" t="inlineStr">
        <is>
          <t>Columna creada una sola vez; pedidos existentes = No.</t>
        </is>
      </c>
      <c r="I29" s="17" t="inlineStr">
        <is>
          <t>SELECT COUNT(*) FROM customer_orders WHERE IS_SPECIAL_ORDER &lt;&gt; 0; -- 0 antes de crear especiales</t>
        </is>
      </c>
      <c r="J29" s="18" t="n"/>
      <c r="K29" s="18" t="n"/>
      <c r="L29" s="18" t="n"/>
      <c r="M29" s="18" t="n"/>
    </row>
    <row r="30" ht="35.05" customHeight="1" s="12">
      <c r="A30" s="17" t="inlineStr">
        <is>
          <t>E3-07</t>
        </is>
      </c>
      <c r="B30" s="17" t="inlineStr">
        <is>
          <t>E3</t>
        </is>
      </c>
      <c r="C30" s="17" t="inlineStr">
        <is>
          <t>T24</t>
        </is>
      </c>
      <c r="D30" s="17" t="inlineStr">
        <is>
          <t>Pedidos &gt; Crear</t>
        </is>
      </c>
      <c r="E30" s="17" t="inlineStr">
        <is>
          <t>Creación de pedidos</t>
        </is>
      </c>
      <c r="F30" s="17" t="inlineStr">
        <is>
          <t>—</t>
        </is>
      </c>
      <c r="G30" s="17" t="inlineStr">
        <is>
          <t>Guardar sin elegir Pedido especial; elegir Sí y en la confirmación 'No, modificar'; luego 'Sí, crear'.</t>
        </is>
      </c>
      <c r="H30" s="17" t="inlineStr">
        <is>
          <t>Mensaje obligatorio; 'No, modificar' no graba y conserva lo digitado; 'Sí, crear' graba con IS_SPECIAL_ORDER = 1.</t>
        </is>
      </c>
      <c r="I30" s="17" t="inlineStr">
        <is>
          <t>SELECT TOP 2 ORDER_NUMBER, IS_SPECIAL_ORDER FROM customer_orders ORDER BY 1 DESC;</t>
        </is>
      </c>
      <c r="J30" s="18" t="n"/>
      <c r="K30" s="18" t="n"/>
      <c r="L30" s="18" t="n"/>
      <c r="M30" s="18" t="n"/>
    </row>
    <row r="31" ht="23.85" customHeight="1" s="12">
      <c r="A31" s="17" t="inlineStr">
        <is>
          <t>E3-08</t>
        </is>
      </c>
      <c r="B31" s="17" t="inlineStr">
        <is>
          <t>E3</t>
        </is>
      </c>
      <c r="C31" s="17" t="inlineStr">
        <is>
          <t>T24</t>
        </is>
      </c>
      <c r="D31" s="17" t="inlineStr">
        <is>
          <t>Reservas &gt; Crear pedido desde reserva</t>
        </is>
      </c>
      <c r="E31" s="17" t="inlineStr">
        <is>
          <t>Modificación de reservas</t>
        </is>
      </c>
      <c r="F31" s="17" t="inlineStr">
        <is>
          <t>Reserva activa</t>
        </is>
      </c>
      <c r="G31" s="17" t="inlineStr">
        <is>
          <t>Mismo flujo de confirmación; revisar tabulación y tildes.</t>
        </is>
      </c>
      <c r="H31" s="17" t="inlineStr">
        <is>
          <t>Igual que Crear; Tab fecha → Pedido especial → notas.</t>
        </is>
      </c>
      <c r="I31" s="17" t="inlineStr">
        <is>
          <t>—</t>
        </is>
      </c>
      <c r="J31" s="18" t="n"/>
      <c r="K31" s="18" t="n"/>
      <c r="L31" s="18" t="n"/>
      <c r="M31" s="18" t="n"/>
    </row>
    <row r="32" ht="23.85" customHeight="1" s="12">
      <c r="A32" s="17" t="inlineStr">
        <is>
          <t>E3-09</t>
        </is>
      </c>
      <c r="B32" s="17" t="inlineStr">
        <is>
          <t>E3</t>
        </is>
      </c>
      <c r="C32" s="17" t="inlineStr">
        <is>
          <t>T24</t>
        </is>
      </c>
      <c r="D32" s="17" t="inlineStr">
        <is>
          <t>Pedidos &gt; Editar</t>
        </is>
      </c>
      <c r="E32" s="17" t="inlineStr">
        <is>
          <t>Modificación de pedidos</t>
        </is>
      </c>
      <c r="F32" s="17" t="inlineStr">
        <is>
          <t>Pedido especial creado</t>
        </is>
      </c>
      <c r="G32" s="17" t="inlineStr">
        <is>
          <t>Cambiar Sí→No: confirmación de cambio ('No, modificar' / 'Sí, cambiar'); editar solo notas.</t>
        </is>
      </c>
      <c r="H32" s="17" t="inlineStr">
        <is>
          <t>Confirma solo si cambia; queda en Track y en log de modificaciones.</t>
        </is>
      </c>
      <c r="I32" s="17" t="inlineStr">
        <is>
          <t>SELECT IS_SPECIAL_ORDER FROM customer_orders WHERE ORDER_NUMBER = '...';</t>
        </is>
      </c>
      <c r="J32" s="18" t="n"/>
      <c r="K32" s="18" t="n"/>
      <c r="L32" s="18" t="n"/>
      <c r="M32" s="18" t="n"/>
    </row>
    <row r="33" ht="35.05" customHeight="1" s="12">
      <c r="A33" s="17" t="inlineStr">
        <is>
          <t>E3-10</t>
        </is>
      </c>
      <c r="B33" s="17" t="inlineStr">
        <is>
          <t>E3</t>
        </is>
      </c>
      <c r="C33" s="17" t="inlineStr">
        <is>
          <t>T25</t>
        </is>
      </c>
      <c r="D33" s="17" t="inlineStr">
        <is>
          <t>Pedidos &gt; Lista</t>
        </is>
      </c>
      <c r="E33" s="17" t="inlineStr">
        <is>
          <t>Consulta de pedidos</t>
        </is>
      </c>
      <c r="F33" s="17" t="inlineStr">
        <is>
          <t>Pedidos Sí y No</t>
        </is>
      </c>
      <c r="G33" s="17" t="inlineStr">
        <is>
          <t>Columna; casilla de tres estados con buscador; cambiar estando en página 3.</t>
        </is>
      </c>
      <c r="H33" s="17" t="inlineStr">
        <is>
          <t>Conteos = BD; vuelve a página 1.</t>
        </is>
      </c>
      <c r="I33" s="17" t="inlineStr">
        <is>
          <t>SELECT IS_SPECIAL_ORDER, COUNT(*) FROM customer_orders GROUP BY IS_SPECIAL_ORDER;</t>
        </is>
      </c>
      <c r="J33" s="18" t="inlineStr">
        <is>
          <t>OK</t>
        </is>
      </c>
      <c r="K33" s="18" t="inlineStr">
        <is>
          <t>Columna Pedido especial en la lista. Desde la página 3, Sí = 1 (39474) y vuelve a página 1; No = 39473 = BD (39474 total).</t>
        </is>
      </c>
      <c r="L33" s="18" t="inlineStr">
        <is>
          <t>Claude App</t>
        </is>
      </c>
      <c r="M33" s="18" t="inlineStr">
        <is>
          <t>24/10/2026</t>
        </is>
      </c>
    </row>
    <row r="34" ht="15" customHeight="1" s="12">
      <c r="A34" s="17" t="inlineStr">
        <is>
          <t>E3-11</t>
        </is>
      </c>
      <c r="B34" s="17" t="inlineStr">
        <is>
          <t>E3</t>
        </is>
      </c>
      <c r="C34" s="17" t="inlineStr">
        <is>
          <t>T25</t>
        </is>
      </c>
      <c r="D34" s="17" t="inlineStr">
        <is>
          <t>Detalle del pedido</t>
        </is>
      </c>
      <c r="E34" s="17" t="inlineStr">
        <is>
          <t>Log de pedidos</t>
        </is>
      </c>
      <c r="F34" s="17" t="inlineStr">
        <is>
          <t>—</t>
        </is>
      </c>
      <c r="G34" s="17" t="inlineStr">
        <is>
          <t>Abrir el detalle desde un log o notificación.</t>
        </is>
      </c>
      <c r="H34" s="17" t="inlineStr">
        <is>
          <t>Muestra 'Pedido especial: Sí/No'.</t>
        </is>
      </c>
      <c r="I34" s="17" t="inlineStr">
        <is>
          <t>—</t>
        </is>
      </c>
      <c r="J34" s="18" t="inlineStr">
        <is>
          <t>OK</t>
        </is>
      </c>
      <c r="K34" s="18" t="inlineStr">
        <is>
          <t>Detalle desde el log de modificación: 'Pedido especial: No' (39473).</t>
        </is>
      </c>
      <c r="L34" s="18" t="inlineStr">
        <is>
          <t>Claude App</t>
        </is>
      </c>
      <c r="M34" s="18" t="inlineStr">
        <is>
          <t>24/10/2026</t>
        </is>
      </c>
    </row>
    <row r="35" ht="23.85" customHeight="1" s="12">
      <c r="A35" s="17" t="inlineStr">
        <is>
          <t>E3-12</t>
        </is>
      </c>
      <c r="B35" s="17" t="inlineStr">
        <is>
          <t>E3</t>
        </is>
      </c>
      <c r="C35" s="17" t="inlineStr">
        <is>
          <t>T25</t>
        </is>
      </c>
      <c r="D35" s="17" t="inlineStr">
        <is>
          <t>Resumen del pedido (imprimir / PDF / correo)</t>
        </is>
      </c>
      <c r="E35" s="17" t="inlineStr">
        <is>
          <t>Descarga de formato de pedidos</t>
        </is>
      </c>
      <c r="F35" s="17" t="inlineStr">
        <is>
          <t>Pedido especial con notas internas</t>
        </is>
      </c>
      <c r="G35" s="17" t="inlineStr">
        <is>
          <t>Imprimir; Guardar PDF; enviar correo al cliente 79872389.</t>
        </is>
      </c>
      <c r="H35" s="17" t="inlineStr">
        <is>
          <t>Imprimir y PDF incluyen Pedido especial y Observaciones internas; el PDF del correo NO las incluye.</t>
        </is>
      </c>
      <c r="I35" s="17" t="inlineStr">
        <is>
          <t>—</t>
        </is>
      </c>
      <c r="J35" s="18" t="inlineStr">
        <is>
          <t>Pendiente</t>
        </is>
      </c>
      <c r="K35" s="18" t="inlineStr">
        <is>
          <t>Resumen/imprimir del 39473 muestra 'Pedido especial: No' y 'Observaciones internas: Prueba T24 notas'. Correo enviado al cliente 79872389 (23/10 pedido 39473): falta revisar el PDF adjunto en el buzón. PDF de 'Acciones' no probado.</t>
        </is>
      </c>
      <c r="L35" s="18" t="inlineStr">
        <is>
          <t>Claude App</t>
        </is>
      </c>
      <c r="M35" s="18" t="inlineStr">
        <is>
          <t>24/10/2026</t>
        </is>
      </c>
    </row>
    <row r="36" ht="23.85" customHeight="1" s="12">
      <c r="A36" s="17" t="inlineStr">
        <is>
          <t>E3-13</t>
        </is>
      </c>
      <c r="B36" s="17" t="inlineStr">
        <is>
          <t>E3</t>
        </is>
      </c>
      <c r="C36" s="17" t="inlineStr">
        <is>
          <t>T26</t>
        </is>
      </c>
      <c r="D36" s="17" t="inlineStr">
        <is>
          <t>BD - script 18</t>
        </is>
      </c>
      <c r="E36" s="17" t="inlineStr">
        <is>
          <t>DBA</t>
        </is>
      </c>
      <c r="F36" s="17" t="inlineStr">
        <is>
          <t>Scripts 17 y anteriores</t>
        </is>
      </c>
      <c r="G36" s="17" t="inlineStr">
        <is>
          <t>Ejecutar 18 dos veces.</t>
        </is>
      </c>
      <c r="H36" s="17" t="inlineStr">
        <is>
          <t>8 líneas '… actualizado' sin errores; si sale 'estructura esperada', detener.</t>
        </is>
      </c>
      <c r="I36" s="17" t="inlineStr">
        <is>
          <t>SELECT OBJECT_NAME FROM RQM_LOGS_OBJECT_BACKUP;</t>
        </is>
      </c>
      <c r="J36" s="18" t="inlineStr">
        <is>
          <t>Corrección</t>
        </is>
      </c>
      <c r="K36" s="18" t="inlineStr">
        <is>
          <t>Bloqueado por script 18: falla con 'Incorrect syntax near +' (EXEC #RQM_T26_APPLY recibe expresiones con + CHAR(13)... como argumentos; T-SQL no lo permite). No alteró ningún SP (solo insertó los 8 respaldos). La app falla al abrir el reporte: SqlException 8145 '@IsSpecialOrder is not a parameter for procedure SP_GET_CUSTOMER_ORDER_REPORT'.</t>
        </is>
      </c>
      <c r="L36" s="18" t="inlineStr">
        <is>
          <t>Claude App</t>
        </is>
      </c>
      <c r="M36" s="18" t="inlineStr">
        <is>
          <t>24/10/2026</t>
        </is>
      </c>
    </row>
    <row r="37" ht="35.05" customHeight="1" s="12">
      <c r="A37" s="17" t="inlineStr">
        <is>
          <t>E3-14</t>
        </is>
      </c>
      <c r="B37" s="17" t="inlineStr">
        <is>
          <t>E3</t>
        </is>
      </c>
      <c r="C37" s="17" t="inlineStr">
        <is>
          <t>T26</t>
        </is>
      </c>
      <c r="D37" s="17" t="inlineStr">
        <is>
          <t>Reportes &gt; Pedidos</t>
        </is>
      </c>
      <c r="E37" s="17" t="inlineStr">
        <is>
          <t>Rol del reporte</t>
        </is>
      </c>
      <c r="F37" s="17" t="inlineStr">
        <is>
          <t>Pedidos especiales de prueba</t>
        </is>
      </c>
      <c r="G37" s="17" t="inlineStr">
        <is>
          <t>Filtrar solo con Pedido especial = Sí; luego No + cliente/fechas; luego Todos.</t>
        </is>
      </c>
      <c r="H37" s="17" t="inlineStr">
        <is>
          <t>Sí solo especiales; No ningún especial; Todos igual que antes. Dato por pedido y condición en el resumen (pantalla e impresión).</t>
        </is>
      </c>
      <c r="I37" s="17" t="inlineStr">
        <is>
          <t>SELECT ORDER_NUMBER FROM customer_orders WHERE IS_SPECIAL_ORDER = 1;</t>
        </is>
      </c>
      <c r="J37" s="18" t="inlineStr">
        <is>
          <t>Corrección</t>
        </is>
      </c>
      <c r="K37" s="18" t="inlineStr">
        <is>
          <t>Bloqueado por script 18: falla con 'Incorrect syntax near +' (EXEC #RQM_T26_APPLY recibe expresiones con + CHAR(13)... como argumentos; T-SQL no lo permite). No alteró ningún SP (solo insertó los 8 respaldos). La app falla al abrir el reporte: SqlException 8145 '@IsSpecialOrder is not a parameter for procedure SP_GET_CUSTOMER_ORDER_REPORT'.</t>
        </is>
      </c>
      <c r="L37" s="18" t="inlineStr">
        <is>
          <t>Claude App</t>
        </is>
      </c>
      <c r="M37" s="18" t="inlineStr">
        <is>
          <t>24/10/2026</t>
        </is>
      </c>
    </row>
    <row r="38" ht="35.05" customHeight="1" s="12">
      <c r="A38" s="17" t="inlineStr">
        <is>
          <t>E3-15</t>
        </is>
      </c>
      <c r="B38" s="17" t="inlineStr">
        <is>
          <t>E3</t>
        </is>
      </c>
      <c r="C38" s="17" t="inlineStr">
        <is>
          <t>T26</t>
        </is>
      </c>
      <c r="D38" s="17" t="inlineStr">
        <is>
          <t>Reportes &gt; Back order</t>
        </is>
      </c>
      <c r="E38" s="17" t="inlineStr">
        <is>
          <t>Rol del reporte</t>
        </is>
      </c>
      <c r="F38" s="17" t="inlineStr">
        <is>
          <t>Pedidos especiales de prueba</t>
        </is>
      </c>
      <c r="G38" s="17" t="inlineStr">
        <is>
          <t>Filtrar solo con Pedido especial = Sí; luego No + cliente/fechas; luego Todos.</t>
        </is>
      </c>
      <c r="H38" s="17" t="inlineStr">
        <is>
          <t>Sí solo especiales; No ningún especial; Todos igual que antes. Dato por pedido y condición en el resumen (pantalla e impresión).</t>
        </is>
      </c>
      <c r="I38" s="17" t="inlineStr">
        <is>
          <t>SELECT ORDER_NUMBER FROM customer_orders WHERE IS_SPECIAL_ORDER = 1;</t>
        </is>
      </c>
      <c r="J38" s="18" t="inlineStr">
        <is>
          <t>Pendiente</t>
        </is>
      </c>
      <c r="K38" s="18" t="inlineStr">
        <is>
          <t>Bloqueado por E3-13 (script 18).</t>
        </is>
      </c>
      <c r="L38" s="18" t="inlineStr">
        <is>
          <t>Claude App</t>
        </is>
      </c>
      <c r="M38" s="18" t="inlineStr">
        <is>
          <t>24/10/2026</t>
        </is>
      </c>
    </row>
    <row r="39" ht="35.05" customHeight="1" s="12">
      <c r="A39" s="17" t="inlineStr">
        <is>
          <t>E3-16</t>
        </is>
      </c>
      <c r="B39" s="17" t="inlineStr">
        <is>
          <t>E3</t>
        </is>
      </c>
      <c r="C39" s="17" t="inlineStr">
        <is>
          <t>T26</t>
        </is>
      </c>
      <c r="D39" s="17" t="inlineStr">
        <is>
          <t>Reportes &gt; Actividades</t>
        </is>
      </c>
      <c r="E39" s="17" t="inlineStr">
        <is>
          <t>Rol del reporte</t>
        </is>
      </c>
      <c r="F39" s="17" t="inlineStr">
        <is>
          <t>Pedidos especiales de prueba</t>
        </is>
      </c>
      <c r="G39" s="17" t="inlineStr">
        <is>
          <t>Filtrar solo con Pedido especial = Sí; luego No + cliente/fechas; luego Todos.</t>
        </is>
      </c>
      <c r="H39" s="17" t="inlineStr">
        <is>
          <t>Sí solo especiales; No ningún especial; Todos igual que antes. Dato por pedido y condición en el resumen (pantalla e impresión).</t>
        </is>
      </c>
      <c r="I39" s="17" t="inlineStr">
        <is>
          <t>SELECT ORDER_NUMBER FROM customer_orders WHERE IS_SPECIAL_ORDER = 1;</t>
        </is>
      </c>
      <c r="J39" s="18" t="inlineStr">
        <is>
          <t>Pendiente</t>
        </is>
      </c>
      <c r="K39" s="18" t="inlineStr">
        <is>
          <t>Bloqueado por E3-13 (script 18).</t>
        </is>
      </c>
      <c r="L39" s="18" t="inlineStr">
        <is>
          <t>Claude App</t>
        </is>
      </c>
      <c r="M39" s="18" t="inlineStr">
        <is>
          <t>24/10/2026</t>
        </is>
      </c>
    </row>
    <row r="40" ht="35.05" customHeight="1" s="12">
      <c r="A40" s="17" t="inlineStr">
        <is>
          <t>E3-17</t>
        </is>
      </c>
      <c r="B40" s="17" t="inlineStr">
        <is>
          <t>E3</t>
        </is>
      </c>
      <c r="C40" s="17" t="inlineStr">
        <is>
          <t>T26</t>
        </is>
      </c>
      <c r="D40" s="17" t="inlineStr">
        <is>
          <t>Reportes &gt; Ventas</t>
        </is>
      </c>
      <c r="E40" s="17" t="inlineStr">
        <is>
          <t>Rol del reporte</t>
        </is>
      </c>
      <c r="F40" s="17" t="inlineStr">
        <is>
          <t>Pedidos especiales de prueba</t>
        </is>
      </c>
      <c r="G40" s="17" t="inlineStr">
        <is>
          <t>Filtrar solo con Pedido especial = Sí; luego No + cliente/fechas; luego Todos.</t>
        </is>
      </c>
      <c r="H40" s="17" t="inlineStr">
        <is>
          <t>Sí solo especiales; No ningún especial; Todos igual que antes. Dato por pedido y condición en el resumen (pantalla e impresión).</t>
        </is>
      </c>
      <c r="I40" s="17" t="inlineStr">
        <is>
          <t>SELECT ORDER_NUMBER FROM customer_orders WHERE IS_SPECIAL_ORDER = 1;</t>
        </is>
      </c>
      <c r="J40" s="18" t="inlineStr">
        <is>
          <t>Pendiente</t>
        </is>
      </c>
      <c r="K40" s="18" t="inlineStr">
        <is>
          <t>Bloqueado por E3-13 (script 18).</t>
        </is>
      </c>
      <c r="L40" s="18" t="inlineStr">
        <is>
          <t>Claude App</t>
        </is>
      </c>
      <c r="M40" s="18" t="inlineStr">
        <is>
          <t>24/10/2026</t>
        </is>
      </c>
    </row>
    <row r="41" ht="35.05" customHeight="1" s="12">
      <c r="A41" s="17" t="inlineStr">
        <is>
          <t>E3-18</t>
        </is>
      </c>
      <c r="B41" s="17" t="inlineStr">
        <is>
          <t>E3</t>
        </is>
      </c>
      <c r="C41" s="17" t="inlineStr">
        <is>
          <t>T26</t>
        </is>
      </c>
      <c r="D41" s="17" t="inlineStr">
        <is>
          <t>Reportes &gt; Asignación automática</t>
        </is>
      </c>
      <c r="E41" s="17" t="inlineStr">
        <is>
          <t>Rol del reporte</t>
        </is>
      </c>
      <c r="F41" s="17" t="inlineStr">
        <is>
          <t>Pedidos especiales de prueba</t>
        </is>
      </c>
      <c r="G41" s="17" t="inlineStr">
        <is>
          <t>Filtrar solo con Pedido especial = Sí; luego No + cliente/fechas; luego Todos.</t>
        </is>
      </c>
      <c r="H41" s="17" t="inlineStr">
        <is>
          <t>Sí solo especiales; No ningún especial; Todos igual que antes. Dato por pedido y condición en el resumen (pantalla e impresión).</t>
        </is>
      </c>
      <c r="I41" s="17" t="inlineStr">
        <is>
          <t>SELECT ORDER_NUMBER FROM customer_orders WHERE IS_SPECIAL_ORDER = 1;</t>
        </is>
      </c>
      <c r="J41" s="18" t="inlineStr">
        <is>
          <t>Pendiente</t>
        </is>
      </c>
      <c r="K41" s="18" t="inlineStr">
        <is>
          <t>Bloqueado por E3-13 (script 18).</t>
        </is>
      </c>
      <c r="L41" s="18" t="inlineStr">
        <is>
          <t>Claude App</t>
        </is>
      </c>
      <c r="M41" s="18" t="inlineStr">
        <is>
          <t>24/10/2026</t>
        </is>
      </c>
    </row>
    <row r="42" ht="35.05" customHeight="1" s="12">
      <c r="A42" s="17" t="inlineStr">
        <is>
          <t>E3-19</t>
        </is>
      </c>
      <c r="B42" s="17" t="inlineStr">
        <is>
          <t>E3</t>
        </is>
      </c>
      <c r="C42" s="17" t="inlineStr">
        <is>
          <t>T26</t>
        </is>
      </c>
      <c r="D42" s="17" t="inlineStr">
        <is>
          <t>Reportes &gt; Pendientes de traslado automático</t>
        </is>
      </c>
      <c r="E42" s="17" t="inlineStr">
        <is>
          <t>Rol del reporte</t>
        </is>
      </c>
      <c r="F42" s="17" t="inlineStr">
        <is>
          <t>Pedidos especiales de prueba</t>
        </is>
      </c>
      <c r="G42" s="17" t="inlineStr">
        <is>
          <t>Filtrar solo con Pedido especial = Sí; luego No + cliente/fechas; luego Todos.</t>
        </is>
      </c>
      <c r="H42" s="17" t="inlineStr">
        <is>
          <t>Sí solo especiales; No ningún especial; Todos igual que antes. Dato por pedido y condición en el resumen (pantalla e impresión).</t>
        </is>
      </c>
      <c r="I42" s="17" t="inlineStr">
        <is>
          <t>SELECT ORDER_NUMBER FROM customer_orders WHERE IS_SPECIAL_ORDER = 1;</t>
        </is>
      </c>
      <c r="J42" s="18" t="inlineStr">
        <is>
          <t>Pendiente</t>
        </is>
      </c>
      <c r="K42" s="18" t="inlineStr">
        <is>
          <t>Bloqueado por E3-13 (script 18).</t>
        </is>
      </c>
      <c r="L42" s="18" t="inlineStr">
        <is>
          <t>Claude App</t>
        </is>
      </c>
      <c r="M42" s="18" t="inlineStr">
        <is>
          <t>24/10/2026</t>
        </is>
      </c>
    </row>
    <row r="43" ht="23.85" customHeight="1" s="12">
      <c r="A43" s="17" t="inlineStr">
        <is>
          <t>E3-20</t>
        </is>
      </c>
      <c r="B43" s="17" t="inlineStr">
        <is>
          <t>E3</t>
        </is>
      </c>
      <c r="C43" s="17" t="inlineStr">
        <is>
          <t>T26</t>
        </is>
      </c>
      <c r="D43" s="17" t="inlineStr">
        <is>
          <t>Asignación automática - filtros combinados</t>
        </is>
      </c>
      <c r="E43" s="17" t="inlineStr">
        <is>
          <t>admin</t>
        </is>
      </c>
      <c r="F43" s="17" t="inlineStr">
        <is>
          <t>—</t>
        </is>
      </c>
      <c r="G43" s="17" t="inlineStr">
        <is>
          <t>Fecha de pedido + otro filtro; fecha estimada inicial y final.</t>
        </is>
      </c>
      <c r="H43" s="17" t="inlineStr">
        <is>
          <t>Sin error (antes fallaba).</t>
        </is>
      </c>
      <c r="I43" s="17" t="inlineStr">
        <is>
          <t>—</t>
        </is>
      </c>
      <c r="J43" s="18" t="inlineStr">
        <is>
          <t>Pendiente</t>
        </is>
      </c>
      <c r="K43" s="18" t="inlineStr">
        <is>
          <t>Bloqueado por E3-13 (script 18).</t>
        </is>
      </c>
      <c r="L43" s="18" t="inlineStr">
        <is>
          <t>Claude App</t>
        </is>
      </c>
      <c r="M43" s="18" t="inlineStr">
        <is>
          <t>24/10/2026</t>
        </is>
      </c>
    </row>
    <row r="44" ht="23.85" customHeight="1" s="12">
      <c r="A44" s="17" t="inlineStr">
        <is>
          <t>E3-21</t>
        </is>
      </c>
      <c r="B44" s="17" t="inlineStr">
        <is>
          <t>E3</t>
        </is>
      </c>
      <c r="C44" s="17" t="inlineStr">
        <is>
          <t>T26</t>
        </is>
      </c>
      <c r="D44" s="17" t="inlineStr">
        <is>
          <t>Pendientes de traslado - filtros</t>
        </is>
      </c>
      <c r="E44" s="17" t="inlineStr">
        <is>
          <t>admin</t>
        </is>
      </c>
      <c r="F44" s="17" t="inlineStr">
        <is>
          <t>—</t>
        </is>
      </c>
      <c r="G44" s="17" t="inlineStr">
        <is>
          <t>Filtrar por cliente, estado, fecha de pedido, fecha de proceso; referencias + otro filtro.</t>
        </is>
      </c>
      <c r="H44" s="17" t="inlineStr">
        <is>
          <t>Ahora filtran (antes se ignoraban); sin error de coma doble.</t>
        </is>
      </c>
      <c r="I44" s="17" t="inlineStr">
        <is>
          <t>—</t>
        </is>
      </c>
      <c r="J44" s="18" t="inlineStr">
        <is>
          <t>Pendiente</t>
        </is>
      </c>
      <c r="K44" s="18" t="inlineStr">
        <is>
          <t>Bloqueado por E3-13 (script 18).</t>
        </is>
      </c>
      <c r="L44" s="18" t="inlineStr">
        <is>
          <t>Claude App</t>
        </is>
      </c>
      <c r="M44" s="18" t="inlineStr">
        <is>
          <t>24/10/2026</t>
        </is>
      </c>
    </row>
    <row r="45" ht="23.85" customHeight="1" s="12">
      <c r="A45" s="17" t="inlineStr">
        <is>
          <t>E3-22</t>
        </is>
      </c>
      <c r="B45" s="17" t="inlineStr">
        <is>
          <t>E3</t>
        </is>
      </c>
      <c r="C45" s="17" t="inlineStr">
        <is>
          <t>T26</t>
        </is>
      </c>
      <c r="D45" s="17" t="inlineStr">
        <is>
          <t>Exportaciones Pedidos y Back order (CSV/Excel)</t>
        </is>
      </c>
      <c r="E45" s="17" t="inlineStr">
        <is>
          <t>Rol del reporte</t>
        </is>
      </c>
      <c r="F45" s="17" t="inlineStr">
        <is>
          <t>—</t>
        </is>
      </c>
      <c r="G45" s="17" t="inlineStr">
        <is>
          <t>Exportar con filtros (incl. Pedido especial = Sí) y sin filtros.</t>
        </is>
      </c>
      <c r="H45" s="17" t="inlineStr">
        <is>
          <t>Columna 'Pedido especial'; respeta filtros; encabezado 'Observaciones Internas'.</t>
        </is>
      </c>
      <c r="I45" s="17" t="inlineStr">
        <is>
          <t>—</t>
        </is>
      </c>
      <c r="J45" s="18" t="inlineStr">
        <is>
          <t>Corrección</t>
        </is>
      </c>
      <c r="K45" s="18" t="inlineStr">
        <is>
          <t>/export/AldebaranDb/customer-order/excel responde 500: InvalidOperationException 'The required column IsSpecialOrder was not present in the results of a FromSql operation' (script 18 no aplicado).</t>
        </is>
      </c>
      <c r="L45" s="18" t="inlineStr">
        <is>
          <t>Claude App</t>
        </is>
      </c>
      <c r="M45" s="18" t="inlineStr">
        <is>
          <t>24/10/2026</t>
        </is>
      </c>
    </row>
    <row r="46" ht="23.85" customHeight="1" s="12">
      <c r="A46" s="17" t="inlineStr">
        <is>
          <t>E3-23</t>
        </is>
      </c>
      <c r="B46" s="17" t="inlineStr">
        <is>
          <t>E3</t>
        </is>
      </c>
      <c r="C46" s="17" t="inlineStr">
        <is>
          <t>T26</t>
        </is>
      </c>
      <c r="D46" s="17" t="inlineStr">
        <is>
          <t>Seguridad de exportaciones</t>
        </is>
      </c>
      <c r="E46" s="17" t="inlineStr">
        <is>
          <t>Sin sesión / con sesión</t>
        </is>
      </c>
      <c r="F46" s="17" t="inlineStr">
        <is>
          <t>—</t>
        </is>
      </c>
      <c r="G46" s="17" t="inlineStr">
        <is>
          <t>Incógnito: abrir /export/AldebaranDb/customer-order/excel. Con sesión: ?OrderNumber=1' OR '1'='1.</t>
        </is>
      </c>
      <c r="H46" s="17" t="inlineStr">
        <is>
          <t>Sin sesión pide login; con inyección no trae pedidos ni ejecuta nada.</t>
        </is>
      </c>
      <c r="I46" s="17" t="inlineStr">
        <is>
          <t>—</t>
        </is>
      </c>
      <c r="J46" s="18" t="inlineStr">
        <is>
          <t>Pendiente</t>
        </is>
      </c>
      <c r="K46" s="18" t="inlineStr">
        <is>
          <t>Sin sesión: redirige (opaqueredirect) = pide login OK. Con ?OrderNumber=1' OR '1'='1: 500 por el script 18 (no se pudo validar). Observación: el 500 devuelve el stack trace en texto plano al navegador.</t>
        </is>
      </c>
      <c r="L46" s="18" t="inlineStr">
        <is>
          <t>Claude App</t>
        </is>
      </c>
      <c r="M46" s="18" t="inlineStr">
        <is>
          <t>24/10/2026</t>
        </is>
      </c>
    </row>
    <row r="47" ht="23.85" customHeight="1" s="12">
      <c r="A47" s="17" t="inlineStr">
        <is>
          <t>E3-24</t>
        </is>
      </c>
      <c r="B47" s="17" t="inlineStr">
        <is>
          <t>E3</t>
        </is>
      </c>
      <c r="C47" s="17" t="inlineStr">
        <is>
          <t>T27</t>
        </is>
      </c>
      <c r="D47" s="17" t="inlineStr">
        <is>
          <t>Logs de pedidos (modificación, cancelación, cierre)</t>
        </is>
      </c>
      <c r="E47" s="17" t="inlineStr">
        <is>
          <t>Log de pedidos</t>
        </is>
      </c>
      <c r="F47" s="17" t="inlineStr">
        <is>
          <t>—</t>
        </is>
      </c>
      <c r="G47" s="17" t="inlineStr">
        <is>
          <t>Revisar la columna y el título 'Modificado por'.</t>
        </is>
      </c>
      <c r="H47" s="17" t="inlineStr">
        <is>
          <t>Columna = BD; título corregido.</t>
        </is>
      </c>
      <c r="I47" s="17" t="inlineStr">
        <is>
          <t>—</t>
        </is>
      </c>
      <c r="J47" s="18" t="inlineStr">
        <is>
          <t>OK</t>
        </is>
      </c>
      <c r="K47" s="18" t="inlineStr">
        <is>
          <t>Columna Pedido especial en modificación, cancelación y cierre; título 'Modificado por' corregido.</t>
        </is>
      </c>
      <c r="L47" s="18" t="inlineStr">
        <is>
          <t>Claude App</t>
        </is>
      </c>
      <c r="M47" s="18" t="inlineStr">
        <is>
          <t>24/10/2026</t>
        </is>
      </c>
    </row>
    <row r="48" ht="15" customHeight="1" s="12">
      <c r="A48" s="17" t="inlineStr">
        <is>
          <t>E3-25</t>
        </is>
      </c>
      <c r="B48" s="17" t="inlineStr">
        <is>
          <t>E3</t>
        </is>
      </c>
      <c r="C48" s="17" t="inlineStr">
        <is>
          <t>T27</t>
        </is>
      </c>
      <c r="D48" s="17" t="inlineStr">
        <is>
          <t>Logs de despachos y traslados</t>
        </is>
      </c>
      <c r="E48" s="17" t="inlineStr">
        <is>
          <t>Log de pedidos</t>
        </is>
      </c>
      <c r="F48" s="17" t="inlineStr">
        <is>
          <t>Script 19</t>
        </is>
      </c>
      <c r="G48" s="17" t="inlineStr">
        <is>
          <t>Ejecutar 19 dos veces; abrir las 4 pantallas.</t>
        </is>
      </c>
      <c r="H48" s="17" t="inlineStr">
        <is>
          <t>Columna 'Pedido especial' = BD.</t>
        </is>
      </c>
      <c r="I48" s="17" t="inlineStr">
        <is>
          <t>—</t>
        </is>
      </c>
      <c r="J48" s="18" t="inlineStr">
        <is>
          <t>OK</t>
        </is>
      </c>
      <c r="K48" s="18" t="inlineStr">
        <is>
          <t>Script 19 ejecutado 2 veces (1ª actualizado, 2ª sin cambios). Las 4 pantallas muestran la columna (despacho 39091 No; traslado 39465 No).</t>
        </is>
      </c>
      <c r="L48" s="18" t="inlineStr">
        <is>
          <t>Claude App</t>
        </is>
      </c>
      <c r="M48" s="18" t="inlineStr">
        <is>
          <t>24/10/2026</t>
        </is>
      </c>
    </row>
    <row r="49" ht="35.05" customHeight="1" s="12">
      <c r="A49" s="17" t="inlineStr">
        <is>
          <t>E3-26</t>
        </is>
      </c>
      <c r="B49" s="17" t="inlineStr">
        <is>
          <t>E3</t>
        </is>
      </c>
      <c r="C49" s="17" t="inlineStr">
        <is>
          <t>T28</t>
        </is>
      </c>
      <c r="D49" s="17" t="inlineStr">
        <is>
          <t>Tablero</t>
        </is>
      </c>
      <c r="E49" s="17" t="inlineStr">
        <is>
          <t>admin</t>
        </is>
      </c>
      <c r="F49" s="17" t="inlineStr">
        <is>
          <t>—</t>
        </is>
      </c>
      <c r="G49" s="17" t="inlineStr">
        <is>
          <t>Pedidos vencidos; OC confirmadas con asignación automática (expandir); modificaciones de traslados automáticos.</t>
        </is>
      </c>
      <c r="H49" s="17" t="inlineStr">
        <is>
          <t>Columna 'Pedido especial' en las tres.</t>
        </is>
      </c>
      <c r="I49" s="17" t="inlineStr">
        <is>
          <t>—</t>
        </is>
      </c>
      <c r="J49" s="18" t="inlineStr">
        <is>
          <t>OK</t>
        </is>
      </c>
      <c r="K49" s="18" t="inlineStr">
        <is>
          <t>Columna en Pedidos vencidos, Creación automática de traslados (al expandir) y Modificaciones de traslados automáticos.</t>
        </is>
      </c>
      <c r="L49" s="18" t="inlineStr">
        <is>
          <t>Claude App</t>
        </is>
      </c>
      <c r="M49" s="18" t="inlineStr">
        <is>
          <t>24/10/2026</t>
        </is>
      </c>
    </row>
    <row r="50" ht="23.85" customHeight="1" s="12">
      <c r="A50" s="17" t="inlineStr">
        <is>
          <t>E3-27</t>
        </is>
      </c>
      <c r="B50" s="17" t="inlineStr">
        <is>
          <t>E3</t>
        </is>
      </c>
      <c r="C50" s="17" t="inlineStr">
        <is>
          <t>T28</t>
        </is>
      </c>
      <c r="D50" s="17" t="inlineStr">
        <is>
          <t>Despachos y traslados a proceso</t>
        </is>
      </c>
      <c r="E50" s="17" t="inlineStr">
        <is>
          <t>Despachos / Traslados</t>
        </is>
      </c>
      <c r="F50" s="17" t="inlineStr">
        <is>
          <t>—</t>
        </is>
      </c>
      <c r="G50" s="17" t="inlineStr">
        <is>
          <t>Lista de pedidos; crear y modificar despacho y traslado.</t>
        </is>
      </c>
      <c r="H50" s="17" t="inlineStr">
        <is>
          <t>Columna en lista; 'Pedido especial: Sí/No' en el encabezado; tildes correctas.</t>
        </is>
      </c>
      <c r="I50" s="17" t="inlineStr">
        <is>
          <t>—</t>
        </is>
      </c>
      <c r="J50" s="18" t="inlineStr">
        <is>
          <t>OK</t>
        </is>
      </c>
      <c r="K50" s="18" t="inlineStr">
        <is>
          <t>Columna en listas de despachos y traslados; 'Pedido especial: Sí' en el encabezado de traslado a proceso del 39474. No se crearon ni modificaron despachos/traslados.</t>
        </is>
      </c>
      <c r="L50" s="18" t="inlineStr">
        <is>
          <t>Claude App</t>
        </is>
      </c>
      <c r="M50" s="18" t="inlineStr">
        <is>
          <t>24/10/2026</t>
        </is>
      </c>
    </row>
    <row r="51" ht="23.85" customHeight="1" s="12">
      <c r="A51" s="17" t="inlineStr">
        <is>
          <t>E3-28</t>
        </is>
      </c>
      <c r="B51" s="17" t="inlineStr">
        <is>
          <t>E3</t>
        </is>
      </c>
      <c r="C51" s="17" t="inlineStr">
        <is>
          <t>T29</t>
        </is>
      </c>
      <c r="D51" s="17" t="inlineStr">
        <is>
          <t>Pedidos &gt; Cerrar pedido en proceso</t>
        </is>
      </c>
      <c r="E51" s="17" t="inlineStr">
        <is>
          <t>Cierre de pedidos</t>
        </is>
      </c>
      <c r="F51" s="17" t="inlineStr">
        <is>
          <t>Pedido con cantidades en proceso que se pueda cerrar</t>
        </is>
      </c>
      <c r="G51" s="17" t="inlineStr">
        <is>
          <t>Cerrar el pedido.</t>
        </is>
      </c>
      <c r="H51" s="17" t="inlineStr">
        <is>
          <t>Cierra y aparece en el log de cierre con su columna Pedido especial.</t>
        </is>
      </c>
      <c r="I51" s="17" t="inlineStr">
        <is>
          <t>Pendiente desde T23.</t>
        </is>
      </c>
      <c r="J51" s="18" t="inlineStr">
        <is>
          <t>Pendiente</t>
        </is>
      </c>
      <c r="K51" s="18" t="inlineStr">
        <is>
          <t>No hay pedido en proceso que se pueda cerrar (39467: 'Existen cantidades en proceso').</t>
        </is>
      </c>
      <c r="L51" s="18" t="inlineStr">
        <is>
          <t>Claude App</t>
        </is>
      </c>
      <c r="M51" s="18" t="inlineStr">
        <is>
          <t>24/10/2026</t>
        </is>
      </c>
    </row>
    <row r="52" ht="23.85" customHeight="1" s="12">
      <c r="A52" s="17" t="inlineStr">
        <is>
          <t>E4-01</t>
        </is>
      </c>
      <c r="B52" s="17" t="inlineStr">
        <is>
          <t>E4</t>
        </is>
      </c>
      <c r="C52" s="17" t="inlineStr">
        <is>
          <t>C1</t>
        </is>
      </c>
      <c r="D52" s="17" t="inlineStr">
        <is>
          <t>BD - script 20</t>
        </is>
      </c>
      <c r="E52" s="17" t="inlineStr">
        <is>
          <t>DBA</t>
        </is>
      </c>
      <c r="F52" s="17" t="inlineStr">
        <is>
          <t>—</t>
        </is>
      </c>
      <c r="G52" s="17" t="inlineStr">
        <is>
          <t>Ejecutar 20 dos veces.</t>
        </is>
      </c>
      <c r="H52" s="17" t="inlineStr">
        <is>
          <t>Sin errores; objetos creados una vez.</t>
        </is>
      </c>
      <c r="I52" s="17" t="inlineStr">
        <is>
          <t>SELECT name FROM sys.objects WHERE name LIKE '%INTERNAL_REFERENCE%';</t>
        </is>
      </c>
      <c r="J52" s="18" t="inlineStr">
        <is>
          <t>OK</t>
        </is>
      </c>
      <c r="K52" s="18" t="inlineStr">
        <is>
          <t>Script 20 ejecutado; objetos creados (2 tablas, 2 funciones, 4 SP).</t>
        </is>
      </c>
      <c r="L52" s="18" t="inlineStr">
        <is>
          <t>Claude App</t>
        </is>
      </c>
      <c r="M52" s="18" t="inlineStr">
        <is>
          <t>24/10/2026</t>
        </is>
      </c>
    </row>
    <row r="53" ht="23.85" customHeight="1" s="12">
      <c r="A53" s="17" t="inlineStr">
        <is>
          <t>E4-02</t>
        </is>
      </c>
      <c r="B53" s="17" t="inlineStr">
        <is>
          <t>E4</t>
        </is>
      </c>
      <c r="C53" s="17" t="inlineStr">
        <is>
          <t>C3/C5</t>
        </is>
      </c>
      <c r="D53" s="17" t="inlineStr">
        <is>
          <t>Consecutivos - validaciones</t>
        </is>
      </c>
      <c r="E53" s="17" t="inlineStr">
        <is>
          <t>Modificación de artículos</t>
        </is>
      </c>
      <c r="F53" s="17" t="inlineStr">
        <is>
          <t>—</t>
        </is>
      </c>
      <c r="G53" s="17" t="inlineStr">
        <is>
          <t>Generar sin código; con espacios; con 7 caracteres; cantidad 0.</t>
        </is>
      </c>
      <c r="H53" s="17" t="inlineStr">
        <is>
          <t>Mensajes de validación; no genera.</t>
        </is>
      </c>
      <c r="I53" s="17" t="inlineStr">
        <is>
          <t>—</t>
        </is>
      </c>
      <c r="J53" s="18" t="inlineStr">
        <is>
          <t>Corrección</t>
        </is>
      </c>
      <c r="K53" s="18" t="inlineStr">
        <is>
          <t>Sin código: 'El código es obligatorio.' OK. Con espacios: 'El código no puede contener espacios.' OK. 7 caracteres: el campo corta a 6 (ABCDEF) y pide confirmación para generar ABCDEF (no hay mensaje). Cantidad 0: el campo vuelve a 1 sin mensaje. Además: tras un error, el primer clic en Generar no hace nada y el mensaje anterior queda visible aunque se corrija el código.</t>
        </is>
      </c>
      <c r="L53" s="18" t="inlineStr">
        <is>
          <t>Claude App</t>
        </is>
      </c>
      <c r="M53" s="18" t="inlineStr">
        <is>
          <t>24/10/2026</t>
        </is>
      </c>
    </row>
    <row r="54" ht="35.05" customHeight="1" s="12">
      <c r="A54" s="17" t="inlineStr">
        <is>
          <t>E4-03</t>
        </is>
      </c>
      <c r="B54" s="17" t="inlineStr">
        <is>
          <t>E4</t>
        </is>
      </c>
      <c r="C54" s="17" t="inlineStr">
        <is>
          <t>C5</t>
        </is>
      </c>
      <c r="D54" s="17" t="inlineStr">
        <is>
          <t>Consecutivos - código nuevo</t>
        </is>
      </c>
      <c r="E54" s="17" t="inlineStr">
        <is>
          <t>Modificación de artículos</t>
        </is>
      </c>
      <c r="F54" s="17" t="inlineStr">
        <is>
          <t>Código sin artículos ni generados (ej. ZZ)</t>
        </is>
      </c>
      <c r="G54" s="17" t="inlineStr">
        <is>
          <t>Cantidad 3, Generar.</t>
        </is>
      </c>
      <c r="H54" s="17" t="inlineStr">
        <is>
          <t>Genera ZZ-001, ZZ-002, ZZ-003 (Generado ahora = Sí).</t>
        </is>
      </c>
      <c r="I54" s="17" t="inlineStr">
        <is>
          <t>SELECT * FROM INTERNAL_REFERENCE_CONSECUTIVES WHERE CODE = 'ZZ';</t>
        </is>
      </c>
      <c r="J54" s="18" t="inlineStr">
        <is>
          <t>OK</t>
        </is>
      </c>
      <c r="K54" s="18" t="inlineStr">
        <is>
          <t>ZZ cantidad 3: ZZ-001..003, Generado ahora = Sí (pantalla).</t>
        </is>
      </c>
      <c r="L54" s="18" t="inlineStr">
        <is>
          <t>Claude App</t>
        </is>
      </c>
      <c r="M54" s="18" t="inlineStr">
        <is>
          <t>24/10/2026</t>
        </is>
      </c>
    </row>
    <row r="55" ht="35.05" customHeight="1" s="12">
      <c r="A55" s="17" t="inlineStr">
        <is>
          <t>E4-04</t>
        </is>
      </c>
      <c r="B55" s="17" t="inlineStr">
        <is>
          <t>E4</t>
        </is>
      </c>
      <c r="C55" s="17" t="inlineStr">
        <is>
          <t>C5</t>
        </is>
      </c>
      <c r="D55" s="17" t="inlineStr">
        <is>
          <t>Consecutivos - código con artículos</t>
        </is>
      </c>
      <c r="E55" s="17" t="inlineStr">
        <is>
          <t>Modificación de artículos</t>
        </is>
      </c>
      <c r="F55" s="17" t="inlineStr">
        <is>
          <t>Código con artículos (ej. el mayor es MU-025), sin disponibles</t>
        </is>
      </c>
      <c r="G55" s="17" t="inlineStr">
        <is>
          <t>Cantidad 2, Generar.</t>
        </is>
      </c>
      <c r="H55" s="17" t="inlineStr">
        <is>
          <t>Genera MU-026 y MU-027 (por encima del mayor usado).</t>
        </is>
      </c>
      <c r="I55" s="17" t="inlineStr">
        <is>
          <t>SELECT MAX(INTERNAL_REFERENCE) FROM items WHERE INTERNAL_REFERENCE LIKE 'MU-[0-9][0-9][0-9]';</t>
        </is>
      </c>
      <c r="J55" s="18" t="inlineStr">
        <is>
          <t>OK</t>
        </is>
      </c>
      <c r="K55" s="18" t="inlineStr">
        <is>
          <t>MU (mayor usado MU-451): genera MU-452 y MU-453 (vía SP).</t>
        </is>
      </c>
      <c r="L55" s="18" t="inlineStr">
        <is>
          <t>Claude App</t>
        </is>
      </c>
      <c r="M55" s="18" t="inlineStr">
        <is>
          <t>24/10/2026</t>
        </is>
      </c>
    </row>
    <row r="56" ht="35.05" customHeight="1" s="12">
      <c r="A56" s="17" t="inlineStr">
        <is>
          <t>E4-05</t>
        </is>
      </c>
      <c r="B56" s="17" t="inlineStr">
        <is>
          <t>E4</t>
        </is>
      </c>
      <c r="C56" s="17" t="inlineStr">
        <is>
          <t>C5</t>
        </is>
      </c>
      <c r="D56" s="17" t="inlineStr">
        <is>
          <t>Consecutivos - usado se elimina</t>
        </is>
      </c>
      <c r="E56" s="17" t="inlineStr">
        <is>
          <t>Modificación de artículos</t>
        </is>
      </c>
      <c r="F56" s="17" t="inlineStr">
        <is>
          <t>MU-026 y MU-027 disponibles</t>
        </is>
      </c>
      <c r="G56" s="17" t="inlineStr">
        <is>
          <t>Crear un artículo con MU-026; Consultar MU.</t>
        </is>
      </c>
      <c r="H56" s="17" t="inlineStr">
        <is>
          <t>Solo aparece MU-027 y MU-026 ya no está en la tabla.</t>
        </is>
      </c>
      <c r="I56" s="17" t="inlineStr">
        <is>
          <t>SELECT * FROM INTERNAL_REFERENCE_CONSECUTIVES WHERE CODE = 'MU'; -- solo 27</t>
        </is>
      </c>
      <c r="J56" s="18" t="inlineStr">
        <is>
          <t>OK</t>
        </is>
      </c>
      <c r="K56" s="18" t="inlineStr">
        <is>
          <t>Artículo MU-452 creado: Consultar MU deja solo MU-453; 452 eliminado de la tabla.</t>
        </is>
      </c>
      <c r="L56" s="18" t="inlineStr">
        <is>
          <t>Claude App</t>
        </is>
      </c>
      <c r="M56" s="18" t="inlineStr">
        <is>
          <t>24/10/2026</t>
        </is>
      </c>
    </row>
    <row r="57" ht="23.85" customHeight="1" s="12">
      <c r="A57" s="17" t="inlineStr">
        <is>
          <t>E4-06</t>
        </is>
      </c>
      <c r="B57" s="17" t="inlineStr">
        <is>
          <t>E4</t>
        </is>
      </c>
      <c r="C57" s="17" t="inlineStr">
        <is>
          <t>C5</t>
        </is>
      </c>
      <c r="D57" s="17" t="inlineStr">
        <is>
          <t>Consecutivos - completar hasta N</t>
        </is>
      </c>
      <c r="E57" s="17" t="inlineStr">
        <is>
          <t>Modificación de artículos</t>
        </is>
      </c>
      <c r="F57" s="17" t="inlineStr">
        <is>
          <t>MU-027 disponible; mayor usado MU-026</t>
        </is>
      </c>
      <c r="G57" s="17" t="inlineStr">
        <is>
          <t>Cantidad 4, Generar.</t>
        </is>
      </c>
      <c r="H57" s="17" t="inlineStr">
        <is>
          <t>Crea MU-028 a MU-030; quedan 4 disponibles (027 con Generado ahora = No).</t>
        </is>
      </c>
      <c r="I57" s="17" t="inlineStr">
        <is>
          <t>—</t>
        </is>
      </c>
      <c r="J57" s="18" t="inlineStr">
        <is>
          <t>OK</t>
        </is>
      </c>
      <c r="K57" s="18" t="inlineStr">
        <is>
          <t>Cantidad 4: crea 454-456; 453 con Generado ahora = No.</t>
        </is>
      </c>
      <c r="L57" s="18" t="inlineStr">
        <is>
          <t>Claude App</t>
        </is>
      </c>
      <c r="M57" s="18" t="inlineStr">
        <is>
          <t>24/10/2026</t>
        </is>
      </c>
    </row>
    <row r="58" ht="23.85" customHeight="1" s="12">
      <c r="A58" s="17" t="inlineStr">
        <is>
          <t>E4-07</t>
        </is>
      </c>
      <c r="B58" s="17" t="inlineStr">
        <is>
          <t>E4</t>
        </is>
      </c>
      <c r="C58" s="17" t="inlineStr">
        <is>
          <t>C5</t>
        </is>
      </c>
      <c r="D58" s="17" t="inlineStr">
        <is>
          <t>Consecutivos - ya hay suficientes</t>
        </is>
      </c>
      <c r="E58" s="17" t="inlineStr">
        <is>
          <t>Modificación de artículos</t>
        </is>
      </c>
      <c r="F58" s="17" t="inlineStr">
        <is>
          <t>4 disponibles</t>
        </is>
      </c>
      <c r="G58" s="17" t="inlineStr">
        <is>
          <t>Cantidad 3, Generar.</t>
        </is>
      </c>
      <c r="H58" s="17" t="inlineStr">
        <is>
          <t>No genera; mensaje informativo; muestra los 4 disponibles.</t>
        </is>
      </c>
      <c r="I58" s="17" t="inlineStr">
        <is>
          <t>—</t>
        </is>
      </c>
      <c r="J58" s="18" t="inlineStr">
        <is>
          <t>OK</t>
        </is>
      </c>
      <c r="K58" s="18" t="inlineStr">
        <is>
          <t>Cantidad 3 con 4 disponibles: no genera (vía SP; mensaje de pantalla no verificado).</t>
        </is>
      </c>
      <c r="L58" s="18" t="inlineStr">
        <is>
          <t>Claude App</t>
        </is>
      </c>
      <c r="M58" s="18" t="inlineStr">
        <is>
          <t>24/10/2026</t>
        </is>
      </c>
    </row>
    <row r="59" ht="23.85" customHeight="1" s="12">
      <c r="A59" s="17" t="inlineStr">
        <is>
          <t>E4-08</t>
        </is>
      </c>
      <c r="B59" s="17" t="inlineStr">
        <is>
          <t>E4</t>
        </is>
      </c>
      <c r="C59" s="17" t="inlineStr">
        <is>
          <t>C5</t>
        </is>
      </c>
      <c r="D59" s="17" t="inlineStr">
        <is>
          <t>Consecutivos - minúsculas y prefijos</t>
        </is>
      </c>
      <c r="E59" s="17" t="inlineStr">
        <is>
          <t>Modificación de artículos</t>
        </is>
      </c>
      <c r="F59" s="17" t="inlineStr">
        <is>
          <t>—</t>
        </is>
      </c>
      <c r="G59" s="17" t="inlineStr">
        <is>
          <t>Consultar 'mu'; generar para MUX.</t>
        </is>
      </c>
      <c r="H59" s="17" t="inlineStr">
        <is>
          <t>'mu' = MU; MUX no se mezcla con MU.</t>
        </is>
      </c>
      <c r="I59" s="17" t="inlineStr">
        <is>
          <t>—</t>
        </is>
      </c>
      <c r="J59" s="18" t="inlineStr">
        <is>
          <t>OK</t>
        </is>
      </c>
      <c r="K59" s="18" t="inlineStr">
        <is>
          <t>'mu' = MU; MUX genera MUX-001 sin mezclarse con MU.</t>
        </is>
      </c>
      <c r="L59" s="18" t="inlineStr">
        <is>
          <t>Claude App</t>
        </is>
      </c>
      <c r="M59" s="18" t="inlineStr">
        <is>
          <t>24/10/2026</t>
        </is>
      </c>
    </row>
    <row r="60" ht="23.85" customHeight="1" s="12">
      <c r="A60" s="17" t="inlineStr">
        <is>
          <t>E4-09</t>
        </is>
      </c>
      <c r="B60" s="17" t="inlineStr">
        <is>
          <t>E4</t>
        </is>
      </c>
      <c r="C60" s="17" t="inlineStr">
        <is>
          <t>C5</t>
        </is>
      </c>
      <c r="D60" s="17" t="inlineStr">
        <is>
          <t>Consecutivos - complementos</t>
        </is>
      </c>
      <c r="E60" s="17" t="inlineStr">
        <is>
          <t>Modificación de artículos</t>
        </is>
      </c>
      <c r="F60" s="17" t="inlineStr">
        <is>
          <t>MU-031 disponible</t>
        </is>
      </c>
      <c r="G60" s="17" t="inlineStr">
        <is>
          <t>Crear un artículo con MU-031-2 (o MU-031-X); Consultar MU.</t>
        </is>
      </c>
      <c r="H60" s="17" t="inlineStr">
        <is>
          <t>MU-031 se elimina de los disponibles.</t>
        </is>
      </c>
      <c r="I60" s="17" t="inlineStr">
        <is>
          <t>—</t>
        </is>
      </c>
      <c r="J60" s="18" t="inlineStr">
        <is>
          <t>OK</t>
        </is>
      </c>
      <c r="K60" s="18" t="inlineStr">
        <is>
          <t>Artículo MU-453-2: MU-453 sale de los disponibles.</t>
        </is>
      </c>
      <c r="L60" s="18" t="inlineStr">
        <is>
          <t>Claude App</t>
        </is>
      </c>
      <c r="M60" s="18" t="inlineStr">
        <is>
          <t>24/10/2026</t>
        </is>
      </c>
    </row>
    <row r="61" ht="23.85" customHeight="1" s="12">
      <c r="A61" s="17" t="inlineStr">
        <is>
          <t>E4-10</t>
        </is>
      </c>
      <c r="B61" s="17" t="inlineStr">
        <is>
          <t>E4</t>
        </is>
      </c>
      <c r="C61" s="17" t="inlineStr">
        <is>
          <t>C5</t>
        </is>
      </c>
      <c r="D61" s="17" t="inlineStr">
        <is>
          <t>Consecutivos - referencias de 2 dígitos</t>
        </is>
      </c>
      <c r="E61" s="17" t="inlineStr">
        <is>
          <t>Modificación de artículos</t>
        </is>
      </c>
      <c r="F61" s="17" t="inlineStr">
        <is>
          <t>Artículos existentes MU-40 o MU-40-1 (mayor del código)</t>
        </is>
      </c>
      <c r="G61" s="17" t="inlineStr">
        <is>
          <t>Cantidad 1 sin disponibles, Generar.</t>
        </is>
      </c>
      <c r="H61" s="17" t="inlineStr">
        <is>
          <t>Genera MU-041 (MU-40 se toma como 040).</t>
        </is>
      </c>
      <c r="I61" s="17" t="inlineStr">
        <is>
          <t>SELECT INTERNAL_REFERENCE FROM items WHERE INTERNAL_REFERENCE LIKE 'MU-%';</t>
        </is>
      </c>
      <c r="J61" s="18" t="inlineStr">
        <is>
          <t>OK</t>
        </is>
      </c>
      <c r="K61" s="18" t="inlineStr">
        <is>
          <t>Código ZV con artículo ZV-40-1: genera ZV-041.</t>
        </is>
      </c>
      <c r="L61" s="18" t="inlineStr">
        <is>
          <t>Claude App</t>
        </is>
      </c>
      <c r="M61" s="18" t="inlineStr">
        <is>
          <t>24/10/2026</t>
        </is>
      </c>
    </row>
    <row r="62" ht="23.85" customHeight="1" s="12">
      <c r="A62" s="17" t="inlineStr">
        <is>
          <t>E4-11</t>
        </is>
      </c>
      <c r="B62" s="17" t="inlineStr">
        <is>
          <t>E4</t>
        </is>
      </c>
      <c r="C62" s="17" t="inlineStr">
        <is>
          <t>C5</t>
        </is>
      </c>
      <c r="D62" s="17" t="inlineStr">
        <is>
          <t>Consecutivos - 1 dígito</t>
        </is>
      </c>
      <c r="E62" s="17" t="inlineStr">
        <is>
          <t>Modificación de artículos</t>
        </is>
      </c>
      <c r="F62" s="17" t="inlineStr">
        <is>
          <t>Único artículo del código: ZY-5</t>
        </is>
      </c>
      <c r="G62" s="17" t="inlineStr">
        <is>
          <t>Cantidad 1, Generar ZY.</t>
        </is>
      </c>
      <c r="H62" s="17" t="inlineStr">
        <is>
          <t>Genera ZY-006 (ZY-5 = 005).</t>
        </is>
      </c>
      <c r="I62" s="17" t="inlineStr">
        <is>
          <t>—</t>
        </is>
      </c>
      <c r="J62" s="18" t="inlineStr">
        <is>
          <t>OK</t>
        </is>
      </c>
      <c r="K62" s="18" t="inlineStr">
        <is>
          <t>ZY-5: genera ZY-006.</t>
        </is>
      </c>
      <c r="L62" s="18" t="inlineStr">
        <is>
          <t>Claude App</t>
        </is>
      </c>
      <c r="M62" s="18" t="inlineStr">
        <is>
          <t>24/10/2026</t>
        </is>
      </c>
    </row>
    <row r="63" ht="23.85" customHeight="1" s="12">
      <c r="A63" s="17" t="inlineStr">
        <is>
          <t>E4-12</t>
        </is>
      </c>
      <c r="B63" s="17" t="inlineStr">
        <is>
          <t>E4</t>
        </is>
      </c>
      <c r="C63" s="17" t="inlineStr">
        <is>
          <t>C5</t>
        </is>
      </c>
      <c r="D63" s="17" t="inlineStr">
        <is>
          <t>Consecutivos - referencias que no cumplen</t>
        </is>
      </c>
      <c r="E63" s="17" t="inlineStr">
        <is>
          <t>Modificación de artículos</t>
        </is>
      </c>
      <c r="F63" s="17" t="inlineStr">
        <is>
          <t>Único artículo del código: ZX-25X</t>
        </is>
      </c>
      <c r="G63" s="17" t="inlineStr">
        <is>
          <t>Consultar y Generar 1 para ZX.</t>
        </is>
      </c>
      <c r="H63" s="17" t="inlineStr">
        <is>
          <t>Genera ZX-001; la lista de referencias que no se toman como consecutivo muestra ZX-25X con su motivo.</t>
        </is>
      </c>
      <c r="I63" s="17" t="inlineStr">
        <is>
          <t>—</t>
        </is>
      </c>
      <c r="J63" s="18" t="inlineStr">
        <is>
          <t>OK</t>
        </is>
      </c>
      <c r="K63" s="18" t="inlineStr">
        <is>
          <t>ZX-25X: genera ZX-001; no conforme con motivo 'Los dígitos están seguidos de "X"...'.</t>
        </is>
      </c>
      <c r="L63" s="18" t="inlineStr">
        <is>
          <t>Claude App</t>
        </is>
      </c>
      <c r="M63" s="18" t="inlineStr">
        <is>
          <t>24/10/2026</t>
        </is>
      </c>
    </row>
    <row r="64" ht="57.45" customHeight="1" s="12">
      <c r="A64" s="17" t="inlineStr">
        <is>
          <t>E4-13</t>
        </is>
      </c>
      <c r="B64" s="17" t="inlineStr">
        <is>
          <t>E4</t>
        </is>
      </c>
      <c r="C64" s="17" t="inlineStr">
        <is>
          <t>C6</t>
        </is>
      </c>
      <c r="D64" s="17" t="inlineStr">
        <is>
          <t>Consecutivos - concurrencia</t>
        </is>
      </c>
      <c r="E64" s="17" t="inlineStr">
        <is>
          <t>Dos usuarios</t>
        </is>
      </c>
      <c r="F64" s="17" t="inlineStr">
        <is>
          <t>—</t>
        </is>
      </c>
      <c r="G64" s="17" t="inlineStr">
        <is>
          <t>Dos sesiones generan para el mismo código al mismo tiempo.</t>
        </is>
      </c>
      <c r="H64" s="17" t="inlineStr">
        <is>
          <t>Sin consecutivos duplicados (PK código+número).</t>
        </is>
      </c>
      <c r="I64" s="17" t="inlineStr">
        <is>
          <t>SELECT CODE, CONSECUTIVE, COUNT(*) FROM INTERNAL_REFERENCE_CONSECUTIVES GROUP BY CODE, CONSECUTIVE HAVING COUNT(*) &gt; 1; -- 0 filas</t>
        </is>
      </c>
      <c r="J64" s="18" t="inlineStr">
        <is>
          <t>Pendiente</t>
        </is>
      </c>
      <c r="K64" s="18" t="inlineStr">
        <is>
          <t>No se ejecutaron dos sesiones simultáneas. Consulta de duplicados = 0 filas (PK código+consecutivo).</t>
        </is>
      </c>
      <c r="L64" s="18" t="inlineStr">
        <is>
          <t>Claude App</t>
        </is>
      </c>
      <c r="M64" s="18" t="inlineStr">
        <is>
          <t>24/10/2026</t>
        </is>
      </c>
    </row>
    <row r="65" ht="15" customHeight="1" s="12">
      <c r="A65" s="17" t="inlineStr">
        <is>
          <t>E4-14</t>
        </is>
      </c>
      <c r="B65" s="17" t="inlineStr">
        <is>
          <t>E4</t>
        </is>
      </c>
      <c r="C65" s="17" t="inlineStr">
        <is>
          <t>C4</t>
        </is>
      </c>
      <c r="D65" s="17" t="inlineStr">
        <is>
          <t>Pruebas unitarias</t>
        </is>
      </c>
      <c r="E65" s="17" t="inlineStr">
        <is>
          <t>Desarrollo</t>
        </is>
      </c>
      <c r="F65" s="17" t="inlineStr">
        <is>
          <t>—</t>
        </is>
      </c>
      <c r="G65" s="17" t="inlineStr">
        <is>
          <t>dotnet test sobre Aldebaran.Application.Services.Tests.</t>
        </is>
      </c>
      <c r="H65" s="17" t="inlineStr">
        <is>
          <t>Todas en verde.</t>
        </is>
      </c>
      <c r="I65" s="17" t="inlineStr">
        <is>
          <t>—</t>
        </is>
      </c>
      <c r="J65" s="18" t="inlineStr">
        <is>
          <t>Pendiente</t>
        </is>
      </c>
      <c r="K65" s="18" t="inlineStr">
        <is>
          <t>No hay SDK .NET en este equipo: Andrés debe ejecutar dotnet test.</t>
        </is>
      </c>
      <c r="L65" s="18" t="inlineStr">
        <is>
          <t>Claude App</t>
        </is>
      </c>
      <c r="M65" s="18" t="inlineStr">
        <is>
          <t>24/10/2026</t>
        </is>
      </c>
    </row>
  </sheetData>
  <autoFilter ref="A1:M65"/>
  <conditionalFormatting sqref="J2:J65">
    <cfRule type="cellIs" rank="0" priority="2" equalAverage="0" operator="equal" aboveAverage="0" dxfId="4" text="" percent="0" bottom="0">
      <formula>"OK"</formula>
    </cfRule>
    <cfRule type="cellIs" rank="0" priority="3" equalAverage="0" operator="equal" aboveAverage="0" dxfId="5" text="" percent="0" bottom="0">
      <formula>"Corrección"</formula>
    </cfRule>
  </conditionalFormatting>
  <dataValidations count="1">
    <dataValidation sqref="J2:J65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40" customWidth="1" style="11" min="2" max="3"/>
    <col width="50" customWidth="1" style="11" min="4" max="4"/>
    <col width="13" customWidth="1" style="11" min="5" max="5"/>
    <col width="36" customWidth="1" style="11" min="6" max="6"/>
    <col width="14" customWidth="1" style="11" min="7" max="7"/>
    <col width="12" customWidth="1" style="11" min="8" max="8"/>
  </cols>
  <sheetData>
    <row r="1" ht="15" customHeight="1" s="12">
      <c r="A1" s="16" t="inlineStr">
        <is>
          <t>ID</t>
        </is>
      </c>
      <c r="B1" s="16" t="inlineStr">
        <is>
          <t>Área</t>
        </is>
      </c>
      <c r="C1" s="16" t="inlineStr">
        <is>
          <t>Pasos</t>
        </is>
      </c>
      <c r="D1" s="16" t="inlineStr">
        <is>
          <t>Resultado esperado</t>
        </is>
      </c>
      <c r="E1" s="16" t="inlineStr">
        <is>
          <t>Resultado</t>
        </is>
      </c>
      <c r="F1" s="16" t="inlineStr">
        <is>
          <t>Observaciones</t>
        </is>
      </c>
      <c r="G1" s="16" t="inlineStr">
        <is>
          <t>Probado por</t>
        </is>
      </c>
      <c r="H1" s="16" t="inlineStr">
        <is>
          <t>Fecha</t>
        </is>
      </c>
    </row>
    <row r="2" ht="15" customHeight="1" s="12">
      <c r="A2" s="17" t="inlineStr">
        <is>
          <t>R-01</t>
        </is>
      </c>
      <c r="B2" s="17" t="inlineStr">
        <is>
          <t>Logs existentes de OC, pedidos y reservas</t>
        </is>
      </c>
      <c r="C2" s="17" t="inlineStr">
        <is>
          <t>Abrir cada log con rango amplio</t>
        </is>
      </c>
      <c r="D2" s="17" t="inlineStr">
        <is>
          <t>Cargan sin errores; totales = BD</t>
        </is>
      </c>
      <c r="E2" s="18" t="inlineStr">
        <is>
          <t>OK</t>
        </is>
      </c>
      <c r="F2" s="18" t="inlineStr">
        <is>
          <t>Logs de OC, pedidos, reservas, despachos/traslados, general, Track e inventario cargan.</t>
        </is>
      </c>
      <c r="G2" s="18" t="n"/>
      <c r="H2" s="18" t="n"/>
    </row>
    <row r="3" ht="15" customHeight="1" s="12">
      <c r="A3" s="17" t="inlineStr">
        <is>
          <t>R-02</t>
        </is>
      </c>
      <c r="B3" s="17" t="inlineStr">
        <is>
          <t>Tablero de notificaciones y alarmas</t>
        </is>
      </c>
      <c r="C3" s="17" t="inlineStr">
        <is>
          <t>Abrir todas las pestañas y marcar visualizado</t>
        </is>
      </c>
      <c r="D3" s="17" t="inlineStr">
        <is>
          <t>Cargan; marcar visualizado funciona y queda en el log</t>
        </is>
      </c>
      <c r="E3" s="18" t="inlineStr">
        <is>
          <t>OK</t>
        </is>
      </c>
      <c r="F3" s="18" t="inlineStr">
        <is>
          <t>Tablero carga; pestañas revisadas. Marcar visualizado no probado.</t>
        </is>
      </c>
      <c r="G3" s="18" t="n"/>
      <c r="H3" s="18" t="n"/>
    </row>
    <row r="4" ht="23.85" customHeight="1" s="12">
      <c r="A4" s="17" t="inlineStr">
        <is>
          <t>R-03</t>
        </is>
      </c>
      <c r="B4" s="17" t="inlineStr">
        <is>
          <t>Reporte de cantidades mínimas y correo con Excel</t>
        </is>
      </c>
      <c r="C4" s="17" t="inlineStr">
        <is>
          <t>Generar el reporte y el correo</t>
        </is>
      </c>
      <c r="D4" s="17" t="inlineStr">
        <is>
          <t>Datos = BD; Excel con marca $ BOMBA</t>
        </is>
      </c>
      <c r="E4" s="18" t="inlineStr">
        <is>
          <t>Pendiente</t>
        </is>
      </c>
      <c r="F4" s="18" t="n"/>
      <c r="G4" s="18" t="n"/>
      <c r="H4" s="18" t="n"/>
    </row>
    <row r="5" ht="15" customHeight="1" s="12">
      <c r="A5" s="17" t="inlineStr">
        <is>
          <t>R-04</t>
        </is>
      </c>
      <c r="B5" s="17" t="inlineStr">
        <is>
          <t>Pedido: crear / modificar / cancelar / cerrar</t>
        </is>
      </c>
      <c r="C5" s="17" t="inlineStr">
        <is>
          <t>Flujo completo</t>
        </is>
      </c>
      <c r="D5" s="17" t="inlineStr">
        <is>
          <t>Sin errores; queda en Track y logs</t>
        </is>
      </c>
      <c r="E5" s="18" t="inlineStr">
        <is>
          <t>Pendiente</t>
        </is>
      </c>
      <c r="F5" s="18" t="n"/>
      <c r="G5" s="18" t="n"/>
      <c r="H5" s="18" t="n"/>
    </row>
    <row r="6" ht="15" customHeight="1" s="12">
      <c r="A6" s="17" t="inlineStr">
        <is>
          <t>R-05</t>
        </is>
      </c>
      <c r="B6" s="17" t="inlineStr">
        <is>
          <t>OC: crear / modificar / cancelar / confirmar</t>
        </is>
      </c>
      <c r="C6" s="17" t="inlineStr">
        <is>
          <t>Flujo completo</t>
        </is>
      </c>
      <c r="D6" s="17" t="inlineStr">
        <is>
          <t>Sin errores; alarmas y log de ajustes correctos</t>
        </is>
      </c>
      <c r="E6" s="18" t="inlineStr">
        <is>
          <t>Pendiente</t>
        </is>
      </c>
      <c r="F6" s="18" t="n"/>
      <c r="G6" s="18" t="n"/>
      <c r="H6" s="18" t="n"/>
    </row>
    <row r="7" ht="23.85" customHeight="1" s="12">
      <c r="A7" s="17" t="inlineStr">
        <is>
          <t>R-06</t>
        </is>
      </c>
      <c r="B7" s="17" t="inlineStr">
        <is>
          <t>Reserva: crear / modificar / cancelar / pasar a pedido</t>
        </is>
      </c>
      <c r="C7" s="17" t="inlineStr">
        <is>
          <t>Flujo completo</t>
        </is>
      </c>
      <c r="D7" s="17" t="inlineStr">
        <is>
          <t>Sin errores; Track y logs</t>
        </is>
      </c>
      <c r="E7" s="18" t="inlineStr">
        <is>
          <t>Pendiente</t>
        </is>
      </c>
      <c r="F7" s="18" t="n"/>
      <c r="G7" s="18" t="n"/>
      <c r="H7" s="18" t="n"/>
    </row>
    <row r="8" ht="15" customHeight="1" s="12">
      <c r="A8" s="17" t="inlineStr">
        <is>
          <t>R-07</t>
        </is>
      </c>
      <c r="B8" s="17" t="inlineStr">
        <is>
          <t>Permisos</t>
        </is>
      </c>
      <c r="C8" s="17" t="inlineStr">
        <is>
          <t>Usuario con un solo rol por pantalla nueva</t>
        </is>
      </c>
      <c r="D8" s="17" t="inlineStr">
        <is>
          <t>Ve solo lo que su rol permite; tildes de roles correctas</t>
        </is>
      </c>
      <c r="E8" s="18" t="inlineStr">
        <is>
          <t>Pendiente</t>
        </is>
      </c>
      <c r="F8" s="18" t="n"/>
      <c r="G8" s="18" t="n"/>
      <c r="H8" s="18" t="n"/>
    </row>
  </sheetData>
  <dataValidations count="1">
    <dataValidation sqref="E2:E8" showDropDown="0" showInputMessage="0" showErrorMessage="0" allowBlank="1" type="list" errorStyle="stop" operator="between">
      <formula1>"OK,Corrección,Pendiente,No aplica"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80" customWidth="1" style="11" min="2" max="2"/>
    <col width="50" customWidth="1" style="11" min="3" max="3"/>
  </cols>
  <sheetData>
    <row r="1" ht="15" customHeight="1" s="12">
      <c r="A1" s="16" t="inlineStr">
        <is>
          <t>Dato</t>
        </is>
      </c>
      <c r="B1" s="16" t="inlineStr">
        <is>
          <t>Detalle</t>
        </is>
      </c>
      <c r="C1" s="16" t="inlineStr">
        <is>
          <t>Acción al cierre (T30)</t>
        </is>
      </c>
    </row>
    <row r="2" ht="15" customHeight="1" s="12">
      <c r="A2" s="17" t="inlineStr">
        <is>
          <t>Precio bomba</t>
        </is>
      </c>
      <c r="B2" s="17" t="inlineStr">
        <is>
          <t>HO-13 (ITEM_ID 2554, ancho embalaje 29, original 28) y ASTON-STY (2047)</t>
        </is>
      </c>
      <c r="C2" s="17" t="inlineStr">
        <is>
          <t>Restaurar al cierre</t>
        </is>
      </c>
    </row>
    <row r="3" ht="23.85" customHeight="1" s="12">
      <c r="A3" s="17" t="inlineStr">
        <is>
          <t>Remitente SMTP pruebas</t>
        </is>
      </c>
      <c r="B3" s="17" t="inlineStr">
        <is>
          <t>'Catalogos Promocionales T2'</t>
        </is>
      </c>
      <c r="C3" s="17" t="inlineStr">
        <is>
          <t>Devolver a 'Catalogos Promocionales' (clave la carga Andrés)</t>
        </is>
      </c>
    </row>
    <row r="4" ht="15" customHeight="1" s="12">
      <c r="A4" s="17" t="inlineStr">
        <is>
          <t>Conexión autómata / FTP / patrón</t>
        </is>
      </c>
      <c r="B4" s="17" t="inlineStr">
        <is>
          <t>SERVIDOR-PRUEBA-T2, ftp.prueba-t2.invalid, PATRON PRUEBA T2 NO USAR (inactivos)</t>
        </is>
      </c>
      <c r="C4" s="17" t="inlineStr">
        <is>
          <t>Eliminar o dejar inactivos</t>
        </is>
      </c>
    </row>
    <row r="5" ht="23.85" customHeight="1" s="12">
      <c r="A5" s="17" t="inlineStr">
        <is>
          <t>Pedidos y reservas</t>
        </is>
      </c>
      <c r="B5" s="17" t="inlineStr">
        <is>
          <t>Reserva 92; pedidos 39469, 39463 (cancelado), 39175 (cerrado), 39471 (cancelado, VA-196 Azul) y los de T24</t>
        </is>
      </c>
      <c r="C5" s="17" t="inlineStr">
        <is>
          <t>Documentar en el cierre</t>
        </is>
      </c>
    </row>
    <row r="6" ht="15" customHeight="1" s="12">
      <c r="A6" s="17" t="inlineStr">
        <is>
          <t>Alarmas / OC / tolerancias</t>
        </is>
      </c>
      <c r="B6" s="17" t="inlineStr">
        <is>
          <t>Alarmas 825 y 826; OC 752 confirmada; ajuste OC 742 devuelto; tolerancia 351–400 en 0,06</t>
        </is>
      </c>
      <c r="C6" s="17" t="inlineStr">
        <is>
          <t>Restaurar tolerancia si aplica</t>
        </is>
      </c>
    </row>
    <row r="7" ht="15" customHeight="1" s="12">
      <c r="A7" s="17" t="inlineStr">
        <is>
          <t>Cliente para correos</t>
        </is>
      </c>
      <c r="B7" s="17" t="inlineStr">
        <is>
          <t>Cédula 79872389 (de Andrés)</t>
        </is>
      </c>
      <c r="C7" s="17" t="inlineStr">
        <is>
          <t>—</t>
        </is>
      </c>
    </row>
    <row r="8">
      <c r="A8" t="inlineStr">
        <is>
          <t>Pedidos T24</t>
        </is>
      </c>
      <c r="B8" t="inlineStr">
        <is>
          <t>39471 cancelado; 39472 No; 39473 creado Sí y editado a No; 39474 Sí desde reserva 92 (reserva en estado 11)</t>
        </is>
      </c>
      <c r="C8" t="inlineStr">
        <is>
          <t>Documentar en el cierre</t>
        </is>
      </c>
    </row>
    <row r="9">
      <c r="A9" t="inlineStr">
        <is>
          <t>Artículos E4 (copia de VA-196)</t>
        </is>
      </c>
      <c r="B9" t="inlineStr">
        <is>
          <t>ITEM_ID 13484 MU-452, 13485 ZY-5, 13486 ZX-25X y los de MU-453-2 y ZV-40-1 (nombre 'PRUEBA E4 ...')</t>
        </is>
      </c>
      <c r="C9" t="inlineStr">
        <is>
          <t>Eliminar al cierre</t>
        </is>
      </c>
    </row>
    <row r="10">
      <c r="A10" t="inlineStr">
        <is>
          <t>Consecutivos E4</t>
        </is>
      </c>
      <c r="B10" t="inlineStr">
        <is>
          <t>ZZ-001..003; MU-454..456; MUX-001; ZY-006; ZX-001; ZV-041 (y códigos en INTERNAL_REFERENCE_CODES)</t>
        </is>
      </c>
      <c r="C10" t="inlineStr">
        <is>
          <t>Eliminar al cierre</t>
        </is>
      </c>
    </row>
    <row r="11">
      <c r="A11" t="inlineStr">
        <is>
          <t>Respaldo script 18</t>
        </is>
      </c>
      <c r="B11" t="inlineStr">
        <is>
          <t>8 filas en RQM_LOGS_OBJECT_BACKUP de los SP de reportes de pedidos (definición original)</t>
        </is>
      </c>
      <c r="C11" t="inlineStr">
        <is>
          <t>Conservar (lo usa la reversa)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10" customWidth="1" style="11" min="2" max="3"/>
    <col width="12" customWidth="1" style="11" min="4" max="6"/>
    <col width="14" customWidth="1" style="11" min="7" max="7"/>
    <col width="10" customWidth="1" style="11" min="8" max="8"/>
  </cols>
  <sheetData>
    <row r="1" ht="15" customHeight="1" s="12">
      <c r="A1" s="16" t="inlineStr">
        <is>
          <t>Entrega</t>
        </is>
      </c>
      <c r="B1" s="16" t="inlineStr">
        <is>
          <t>Casos</t>
        </is>
      </c>
      <c r="C1" s="16" t="inlineStr">
        <is>
          <t>OK</t>
        </is>
      </c>
      <c r="D1" s="16" t="inlineStr">
        <is>
          <t>Corrección</t>
        </is>
      </c>
      <c r="E1" s="16" t="inlineStr">
        <is>
          <t>Pendiente</t>
        </is>
      </c>
      <c r="F1" s="16" t="inlineStr">
        <is>
          <t>No aplica</t>
        </is>
      </c>
      <c r="G1" s="16" t="inlineStr">
        <is>
          <t>Sin ejecutar</t>
        </is>
      </c>
      <c r="H1" s="16" t="inlineStr">
        <is>
          <t>% OK</t>
        </is>
      </c>
    </row>
    <row r="2" ht="15" customHeight="1" s="12">
      <c r="A2" s="19" t="inlineStr">
        <is>
          <t>E1</t>
        </is>
      </c>
      <c r="B2" s="19">
        <f>COUNTIF('Casos de prueba'!$B$2:$B$65,A2)</f>
        <v/>
      </c>
      <c r="C2" s="19">
        <f>COUNTIFS('Casos de prueba'!$B$2:$B$65,$A2,'Casos de prueba'!$J$2:$J$65,"OK")</f>
        <v/>
      </c>
      <c r="D2" s="19">
        <f>COUNTIFS('Casos de prueba'!$B$2:$B$65,$A2,'Casos de prueba'!$J$2:$J$65,"Corrección")</f>
        <v/>
      </c>
      <c r="E2" s="19">
        <f>COUNTIFS('Casos de prueba'!$B$2:$B$65,$A2,'Casos de prueba'!$J$2:$J$65,"Pendiente")</f>
        <v/>
      </c>
      <c r="F2" s="19">
        <f>COUNTIFS('Casos de prueba'!$B$2:$B$65,$A2,'Casos de prueba'!$J$2:$J$65,"No aplica")</f>
        <v/>
      </c>
      <c r="G2" s="19">
        <f>B2-SUM(C2:F2)</f>
        <v/>
      </c>
      <c r="H2" s="20">
        <f>IF(B2=0,0,C2/B2)</f>
        <v/>
      </c>
    </row>
    <row r="3" ht="15" customHeight="1" s="12">
      <c r="A3" s="19" t="inlineStr">
        <is>
          <t>E2</t>
        </is>
      </c>
      <c r="B3" s="19">
        <f>COUNTIF('Casos de prueba'!$B$2:$B$65,A3)</f>
        <v/>
      </c>
      <c r="C3" s="19">
        <f>COUNTIFS('Casos de prueba'!$B$2:$B$65,$A3,'Casos de prueba'!$J$2:$J$65,"OK")</f>
        <v/>
      </c>
      <c r="D3" s="19">
        <f>COUNTIFS('Casos de prueba'!$B$2:$B$65,$A3,'Casos de prueba'!$J$2:$J$65,"Corrección")</f>
        <v/>
      </c>
      <c r="E3" s="19">
        <f>COUNTIFS('Casos de prueba'!$B$2:$B$65,$A3,'Casos de prueba'!$J$2:$J$65,"Pendiente")</f>
        <v/>
      </c>
      <c r="F3" s="19">
        <f>COUNTIFS('Casos de prueba'!$B$2:$B$65,$A3,'Casos de prueba'!$J$2:$J$65,"No aplica")</f>
        <v/>
      </c>
      <c r="G3" s="19">
        <f>B3-SUM(C3:F3)</f>
        <v/>
      </c>
      <c r="H3" s="20">
        <f>IF(B3=0,0,C3/B3)</f>
        <v/>
      </c>
    </row>
    <row r="4" ht="15" customHeight="1" s="12">
      <c r="A4" s="19" t="inlineStr">
        <is>
          <t>E3</t>
        </is>
      </c>
      <c r="B4" s="19">
        <f>COUNTIF('Casos de prueba'!$B$2:$B$65,A4)</f>
        <v/>
      </c>
      <c r="C4" s="19">
        <f>COUNTIFS('Casos de prueba'!$B$2:$B$65,$A4,'Casos de prueba'!$J$2:$J$65,"OK")</f>
        <v/>
      </c>
      <c r="D4" s="19">
        <f>COUNTIFS('Casos de prueba'!$B$2:$B$65,$A4,'Casos de prueba'!$J$2:$J$65,"Corrección")</f>
        <v/>
      </c>
      <c r="E4" s="19">
        <f>COUNTIFS('Casos de prueba'!$B$2:$B$65,$A4,'Casos de prueba'!$J$2:$J$65,"Pendiente")</f>
        <v/>
      </c>
      <c r="F4" s="19">
        <f>COUNTIFS('Casos de prueba'!$B$2:$B$65,$A4,'Casos de prueba'!$J$2:$J$65,"No aplica")</f>
        <v/>
      </c>
      <c r="G4" s="19">
        <f>B4-SUM(C4:F4)</f>
        <v/>
      </c>
      <c r="H4" s="20">
        <f>IF(B4=0,0,C4/B4)</f>
        <v/>
      </c>
    </row>
    <row r="5" ht="15" customHeight="1" s="12">
      <c r="A5" s="19" t="inlineStr">
        <is>
          <t>E4</t>
        </is>
      </c>
      <c r="B5" s="19">
        <f>COUNTIF('Casos de prueba'!$B$2:$B$65,A5)</f>
        <v/>
      </c>
      <c r="C5" s="19">
        <f>COUNTIFS('Casos de prueba'!$B$2:$B$65,$A5,'Casos de prueba'!$J$2:$J$65,"OK")</f>
        <v/>
      </c>
      <c r="D5" s="19">
        <f>COUNTIFS('Casos de prueba'!$B$2:$B$65,$A5,'Casos de prueba'!$J$2:$J$65,"Corrección")</f>
        <v/>
      </c>
      <c r="E5" s="19">
        <f>COUNTIFS('Casos de prueba'!$B$2:$B$65,$A5,'Casos de prueba'!$J$2:$J$65,"Pendiente")</f>
        <v/>
      </c>
      <c r="F5" s="19">
        <f>COUNTIFS('Casos de prueba'!$B$2:$B$65,$A5,'Casos de prueba'!$J$2:$J$65,"No aplica")</f>
        <v/>
      </c>
      <c r="G5" s="19">
        <f>B5-SUM(C5:F5)</f>
        <v/>
      </c>
      <c r="H5" s="20">
        <f>IF(B5=0,0,C5/B5)</f>
        <v/>
      </c>
    </row>
    <row r="6" ht="15" customHeight="1" s="12">
      <c r="A6" s="21" t="inlineStr">
        <is>
          <t>Total</t>
        </is>
      </c>
      <c r="B6" s="21">
        <f>SUM(B2:B5)</f>
        <v/>
      </c>
      <c r="C6" s="21">
        <f>SUM(C2:C5)</f>
        <v/>
      </c>
      <c r="D6" s="21">
        <f>SUM(D2:D5)</f>
        <v/>
      </c>
      <c r="E6" s="21">
        <f>SUM(E2:E5)</f>
        <v/>
      </c>
      <c r="F6" s="21">
        <f>SUM(F2:F5)</f>
        <v/>
      </c>
      <c r="G6" s="21">
        <f>SUM(G2:G5)</f>
        <v/>
      </c>
      <c r="H6" s="22">
        <f>IF(B6=0,0,C6/B6)</f>
        <v/>
      </c>
    </row>
    <row r="7" ht="15" customHeight="1" s="12">
      <c r="A7" s="19" t="n"/>
      <c r="B7" s="19" t="n"/>
      <c r="C7" s="19" t="n"/>
      <c r="D7" s="19" t="n"/>
      <c r="E7" s="19" t="n"/>
      <c r="F7" s="19" t="n"/>
      <c r="G7" s="19" t="n"/>
      <c r="H7" s="19" t="n"/>
    </row>
    <row r="8" ht="15" customHeight="1" s="12">
      <c r="A8" s="19" t="inlineStr">
        <is>
          <t>Regresión: casos</t>
        </is>
      </c>
      <c r="B8" s="19">
        <f>COUNTA('Regresión acumulada'!$A$2:$A$8)</f>
        <v/>
      </c>
      <c r="C8" s="19" t="n"/>
      <c r="D8" s="19" t="n"/>
      <c r="E8" s="19" t="n"/>
      <c r="F8" s="19" t="n"/>
      <c r="G8" s="19" t="n"/>
      <c r="H8" s="19" t="n"/>
    </row>
    <row r="9" ht="15" customHeight="1" s="12">
      <c r="A9" s="19" t="inlineStr">
        <is>
          <t>Regresión: OK</t>
        </is>
      </c>
      <c r="B9" s="19">
        <f>COUNTIF('Regresión acumulada'!$E$2:$E$8,"OK")</f>
        <v/>
      </c>
      <c r="C9" s="19" t="n"/>
      <c r="D9" s="19" t="n"/>
      <c r="E9" s="19" t="n"/>
      <c r="F9" s="19" t="n"/>
      <c r="G9" s="19" t="n"/>
      <c r="H9" s="1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2026-10-24T19:19:49Z</dcterms:created>
  <dcterms:modified xmlns:dcterms="http://purl.org/dc/terms/" xmlns:xsi="http://www.w3.org/2001/XMLSchema-instance" xsi:type="dcterms:W3CDTF">2026-10-24T20:23:50Z</dcterms:modified>
  <cp:revision>0</cp:revision>
</cp:coreProperties>
</file>