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sos de prueba" sheetId="2" state="visible" r:id="rId4"/>
    <sheet name="Regresión acumulada" sheetId="3" state="visible" r:id="rId5"/>
    <sheet name="Datos de prueba" sheetId="4" state="visible" r:id="rId6"/>
    <sheet name="Resumen" sheetId="5" state="visible" r:id="rId7"/>
  </sheets>
  <definedNames>
    <definedName function="false" hidden="true" localSheetId="1" name="_xlnm._FilterDatabase" vbProcedure="false">'Casos de prueba'!$A$1:$M$63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<sst xmlns="http://schemas.openxmlformats.org/spreadsheetml/2006/main" count="653" uniqueCount="450">
  <si>
    <t xml:space="preserve">RQM Complemento módulo de Consulta de Logs + Marca de Oferta – T29 Casos de prueba</t>
  </si>
  <si>
    <t xml:space="preserve">Rama: RQM-ComplementoLogs+SaleOff · BD de pruebas: GML0999\SQLEXPRESS01 · Sitio: https://localhost:6001 · Usuario: admin</t>
  </si>
  <si>
    <t xml:space="preserve">Cómo usar:</t>
  </si>
  <si>
    <t xml:space="preserve">1. Ejecutar los scripts de Despliegue en orden (01–19) en la BD de pruebas antes de iniciar.</t>
  </si>
  <si>
    <t xml:space="preserve">2. Hoja 'Casos de prueba': llenar solo las columnas en amarillo: Resultado (lista: OK / Corrección / Pendiente / No aplica), Observaciones, Probado por y Fecha.</t>
  </si>
  <si>
    <t xml:space="preserve">3. Hoja 'Regresión acumulada': repetir al final de la ejecución completa.</t>
  </si>
  <si>
    <t xml:space="preserve">4. Hoja 'Datos de prueba': datos creados durante el RQM que se restauran o documentan en T30.</t>
  </si>
  <si>
    <t xml:space="preserve">5. Hoja 'Resumen': se calcula sola.</t>
  </si>
  <si>
    <t xml:space="preserve">Casos E1/E2 armados desde el plan de trabajo y los commits de la rama; contrastar con el detalle del Proyecto 'Desarrollos Promos Aldebaran' y completar si falta algo.</t>
  </si>
  <si>
    <t xml:space="preserve">Fila de ejemplo de llenado: ID E3-01 → Resultado: OK · Observaciones: 'Conteo 12 = BD' · Probado por: Claude Chat · Fecha: 2026-10-25</t>
  </si>
  <si>
    <t xml:space="preserve">ID</t>
  </si>
  <si>
    <t xml:space="preserve">Entrega</t>
  </si>
  <si>
    <t xml:space="preserve">Tarea</t>
  </si>
  <si>
    <t xml:space="preserve">Pantalla / objeto</t>
  </si>
  <si>
    <t xml:space="preserve">Rol</t>
  </si>
  <si>
    <t xml:space="preserve">Precondición</t>
  </si>
  <si>
    <t xml:space="preserve">Pasos</t>
  </si>
  <si>
    <t xml:space="preserve">Resultado esperado</t>
  </si>
  <si>
    <t xml:space="preserve">Verificación en BD</t>
  </si>
  <si>
    <t xml:space="preserve">Resultado</t>
  </si>
  <si>
    <t xml:space="preserve">Observaciones</t>
  </si>
  <si>
    <t xml:space="preserve">Probado por</t>
  </si>
  <si>
    <t xml:space="preserve">Fecha</t>
  </si>
  <si>
    <t xml:space="preserve">E1-01</t>
  </si>
  <si>
    <t xml:space="preserve">E1</t>
  </si>
  <si>
    <t xml:space="preserve">T1</t>
  </si>
  <si>
    <t xml:space="preserve">BD - log.Logs / log.track</t>
  </si>
  <si>
    <t xml:space="preserve">DBA</t>
  </si>
  <si>
    <t xml:space="preserve">Script 01 ejecutado</t>
  </si>
  <si>
    <t xml:space="preserve">Ejecutar 01 - Indices Log y Track.sql dos veces.</t>
  </si>
  <si>
    <t xml:space="preserve">Sin errores; segunda ejecución no recrea nada.</t>
  </si>
  <si>
    <t xml:space="preserve">SELECT name FROM sys.indexes WHERE name IN ('IX_Logs_TimeStamp','IX_Logs_Template_TimeStamp','IX_track_Entity_Date','IX_track_Entity_Key'); -- 4 filas</t>
  </si>
  <si>
    <t xml:space="preserve">E1-02</t>
  </si>
  <si>
    <t xml:space="preserve">Aplicación (escritura de logs)</t>
  </si>
  <si>
    <t xml:space="preserve">admin</t>
  </si>
  <si>
    <t xml:space="preserve">Índices creados</t>
  </si>
  <si>
    <t xml:space="preserve">Navegar la app y generar un error controlado; guardar un pedido.</t>
  </si>
  <si>
    <t xml:space="preserve">Serilog y Track siguen escribiendo sin errores.</t>
  </si>
  <si>
    <t xml:space="preserve">SELECT TOP 5 * FROM log.Logs ORDER BY TimeStamp DESC; SELECT TOP 5 * FROM log.track ORDER BY 1 DESC;</t>
  </si>
  <si>
    <t xml:space="preserve">E1-03</t>
  </si>
  <si>
    <t xml:space="preserve">T2a</t>
  </si>
  <si>
    <t xml:space="preserve">Conexiones FTP / Autómata / SMTP</t>
  </si>
  <si>
    <t xml:space="preserve">—</t>
  </si>
  <si>
    <t xml:space="preserve">Editar la contraseña de FTP SERVIDOR-PRUEBA-T2, de la conexión del autómata y la clave SMTP; abrir el Track de cada una.</t>
  </si>
  <si>
    <t xml:space="preserve">Track muestra '********' y '******** (modificada)'; nunca el valor ni un hash.</t>
  </si>
  <si>
    <t xml:space="preserve">SELECT TOP 10 * FROM log.track WHERE ENTITY_NAME LIKE '%Connection%' OR ENTITY_NAME LIKE '%NotificationProvider%' ORDER BY 1 DESC;</t>
  </si>
  <si>
    <t xml:space="preserve">E1-04</t>
  </si>
  <si>
    <t xml:space="preserve">BD - histórico log.track</t>
  </si>
  <si>
    <t xml:space="preserve">Script 02 ejecutado</t>
  </si>
  <si>
    <t xml:space="preserve">Ejecutar 02 - Ofuscar historico Track.sql (re-ejecutable).</t>
  </si>
  <si>
    <t xml:space="preserve">No quedan contraseñas en claro en el histórico.</t>
  </si>
  <si>
    <t xml:space="preserve">Buscar en log.track textos de clave conocidos (ej. clave SMTP anterior): 0 filas.</t>
  </si>
  <si>
    <t xml:space="preserve">E1-05</t>
  </si>
  <si>
    <t xml:space="preserve">T2b</t>
  </si>
  <si>
    <t xml:space="preserve">Track - 19 entidades ITrackeable</t>
  </si>
  <si>
    <t xml:space="preserve">Ejecutar una acción por entidad (cierre/modificación de pedido, modificación de reserva, despacho, traslado, OC, ajuste OC, tolerancias, alarma de tránsito, usuarios-alarma, notificaciones, patrones y destinatarios del autómata, conexiones).</t>
  </si>
  <si>
    <t xml:space="preserve">Cada acción genera su movimiento en Track con usuario y fecha.</t>
  </si>
  <si>
    <t xml:space="preserve">Scripts\Pruebas 04 - Pruebas T2 Track.sql</t>
  </si>
  <si>
    <t xml:space="preserve">E1-06</t>
  </si>
  <si>
    <t xml:space="preserve">T3</t>
  </si>
  <si>
    <t xml:space="preserve">BD - consulta de visualización de alarmas</t>
  </si>
  <si>
    <t xml:space="preserve">Script 03</t>
  </si>
  <si>
    <t xml:space="preserve">Ejecutar SP_GET_ALARM_LOG_TYPES y SP_GET_ALARM_LOG con rango de fechas.</t>
  </si>
  <si>
    <t xml:space="preserve">10 tipos; rango obligatorio; paginación con total.</t>
  </si>
  <si>
    <t xml:space="preserve">Pruebas P03 (21 casos)</t>
  </si>
  <si>
    <t xml:space="preserve">E1-07</t>
  </si>
  <si>
    <t xml:space="preserve">T3b</t>
  </si>
  <si>
    <t xml:space="preserve">Alarmas de inventario - ciclo de vida</t>
  </si>
  <si>
    <t xml:space="preserve">Script 04; referencia con mínimo</t>
  </si>
  <si>
    <t xml:space="preserve">Bajar el disponible bajo el mínimo; volver a moverlo sin cambiar la cantidad; confirmar OC que repone.</t>
  </si>
  <si>
    <t xml:space="preserve">Nace una alarma; si la condición se repite se refresca y borra visualizaciones; muere al confirmar OC. Cada evento queda en INVENTORY_ALARM_LOG con estado anterior/nuevo y origen.</t>
  </si>
  <si>
    <t xml:space="preserve">SELECT TOP 20 * FROM dbo.INVENTORY_ALARM_LOG ORDER BY 1 DESC;</t>
  </si>
  <si>
    <t xml:space="preserve">E1-08</t>
  </si>
  <si>
    <t xml:space="preserve">Alarma bodega local</t>
  </si>
  <si>
    <t xml:space="preserve">Referencia con mínimo en Bodega Local</t>
  </si>
  <si>
    <t xml:space="preserve">Mover inventario de Bodega Local bajo el mínimo.</t>
  </si>
  <si>
    <t xml:space="preserve">Solo evalúa Bodega Local; refresca y registra log igual que las demás.</t>
  </si>
  <si>
    <t xml:space="preserve">INVENTORY_ALARM_LOG con ALARM_TYPE_CODE = 'MINIMUM_LOCAL_WAREHOUSE'</t>
  </si>
  <si>
    <t xml:space="preserve">E1-09</t>
  </si>
  <si>
    <t xml:space="preserve">T3c</t>
  </si>
  <si>
    <t xml:space="preserve">Job 'Verificacion Alarmas'</t>
  </si>
  <si>
    <t xml:space="preserve">Script 05 (permisos msdb)</t>
  </si>
  <si>
    <t xml:space="preserve">Ejecutar el job manualmente.</t>
  </si>
  <si>
    <t xml:space="preserve">Refrescos solo si cambió la cantidad; inactivaciones directas con origen 'Proceso programado - depuración'.</t>
  </si>
  <si>
    <t xml:space="preserve">Pruebas P04 (J1–J3)</t>
  </si>
  <si>
    <t xml:space="preserve">E1-10</t>
  </si>
  <si>
    <t xml:space="preserve">T4/T5</t>
  </si>
  <si>
    <t xml:space="preserve">Consulta de Log &gt; Visualización de alarmas (Órdenes, Pedidos, Reservas)</t>
  </si>
  <si>
    <t xml:space="preserve">Rol de cada contexto</t>
  </si>
  <si>
    <t xml:space="preserve">Script 06</t>
  </si>
  <si>
    <t xml:space="preserve">Abrir cada contexto; filtrar por fechas y texto; abrir el diálogo de visualizaciones. Abrir un contexto sin rol.</t>
  </si>
  <si>
    <t xml:space="preserve">Totales = SP; diálogo con quién y cuándo visualizó. Sin rol: /unauthorized.</t>
  </si>
  <si>
    <t xml:space="preserve">Pruebas P05</t>
  </si>
  <si>
    <t xml:space="preserve">E1-11</t>
  </si>
  <si>
    <t xml:space="preserve">Log de inventarios &gt; Inactivaciones y refrescos</t>
  </si>
  <si>
    <t xml:space="preserve">Log de inventarios</t>
  </si>
  <si>
    <t xml:space="preserve">Filtrar por tipo de alarma, evento, fechas y texto.</t>
  </si>
  <si>
    <t xml:space="preserve">Muestra estado anterior → nuevo y origen; totales = BD.</t>
  </si>
  <si>
    <t xml:space="preserve">SELECT COUNT(*) FROM dbo.INVENTORY_ALARM_LOG WHERE EVENT_DATE BETWEEN ...</t>
  </si>
  <si>
    <t xml:space="preserve">E1-12</t>
  </si>
  <si>
    <t xml:space="preserve">T6/T7</t>
  </si>
  <si>
    <t xml:space="preserve">Log del sistema &gt; Track</t>
  </si>
  <si>
    <t xml:space="preserve">Log del sistema</t>
  </si>
  <si>
    <t xml:space="preserve">Scripts 07, 08</t>
  </si>
  <si>
    <t xml:space="preserve">Buscar por objeto (pedido 39471) sin entidad; buscar por entidad sin objeto; aplicar fechas, acción y usuario; abrir detalle.</t>
  </si>
  <si>
    <t xml:space="preserve">Movimientos de todas las entidades del pedido; detalle campo/anterior/nuevo con cambios resaltados y descripción de Id.</t>
  </si>
  <si>
    <t xml:space="preserve">Pruebas P06</t>
  </si>
  <si>
    <t xml:space="preserve">E1-13</t>
  </si>
  <si>
    <t xml:space="preserve">T6c</t>
  </si>
  <si>
    <t xml:space="preserve">Track - nombres en español</t>
  </si>
  <si>
    <t xml:space="preserve">Script 09</t>
  </si>
  <si>
    <t xml:space="preserve">Abrir el detalle de un movimiento; activar 'Ver campos técnicos'.</t>
  </si>
  <si>
    <t xml:space="preserve">Campos en español (técnico en tooltip); 'Pedido especial', 'Precio bomba' traducidos; técnicos ocultos por defecto.</t>
  </si>
  <si>
    <t xml:space="preserve">SELECT * FROM dbo.LOG_TRACK_FIELD_NAMES WHERE FIELD_NAME IN ('IsSpecialOrder','IsBombPrice');</t>
  </si>
  <si>
    <t xml:space="preserve">E1-14</t>
  </si>
  <si>
    <t xml:space="preserve">T8</t>
  </si>
  <si>
    <t xml:space="preserve">Artículos &gt; Editar - Precio bomba</t>
  </si>
  <si>
    <t xml:space="preserve">Script 14</t>
  </si>
  <si>
    <t xml:space="preserve">Marcar Precio bomba en un artículo; luego marcar Oferta; probar un nombre que supere 50 caracteres con el sufijo.</t>
  </si>
  <si>
    <t xml:space="preserve">Sufijo ' - $ BOMBA'; Oferta y Precio bomba excluyentes (cambia el sufijo); mensaje si supera 50 caracteres. Sigue generando alarmas y preorden.</t>
  </si>
  <si>
    <t xml:space="preserve">SELECT ITEM_NAME, IS_BOMB_PRICE, IS_SALE_OFF FROM items WHERE ITEM_ID = 2554;</t>
  </si>
  <si>
    <t xml:space="preserve">E1-15</t>
  </si>
  <si>
    <t xml:space="preserve">T9</t>
  </si>
  <si>
    <t xml:space="preserve">Tablero &gt; Cantidades mínimas (diálogo de inventario)</t>
  </si>
  <si>
    <t xml:space="preserve">HO-13 / ASTON-STY con Precio bomba y en alarma</t>
  </si>
  <si>
    <t xml:space="preserve">Abrir el diálogo de inventario de la alarma (con y sin imagen).</t>
  </si>
  <si>
    <t xml:space="preserve">Etiqueta '$ BOMBA' sobre la imagen o en el espacio vacío.</t>
  </si>
  <si>
    <t xml:space="preserve">E1-16</t>
  </si>
  <si>
    <t xml:space="preserve">Correo de cantidades mínimas (Excel)</t>
  </si>
  <si>
    <t xml:space="preserve">Cola RabbitMQ / NotificationProcessor activos</t>
  </si>
  <si>
    <t xml:space="preserve">Disparar el envío periódico; abrir el Excel adjunto.</t>
  </si>
  <si>
    <t xml:space="preserve">La marca $ BOMBA aparece sobre la imagen de los artículos marcados.</t>
  </si>
  <si>
    <t xml:space="preserve">Pendiente desde E1: verificar el Excel recibido.</t>
  </si>
  <si>
    <t xml:space="preserve">E2-01</t>
  </si>
  <si>
    <t xml:space="preserve">E2</t>
  </si>
  <si>
    <t xml:space="preserve">T10–T13</t>
  </si>
  <si>
    <t xml:space="preserve">Log de pedidos &gt; Modificación/Cancelación de despachos y traslados a proceso</t>
  </si>
  <si>
    <t xml:space="preserve">Log de pedidos</t>
  </si>
  <si>
    <t xml:space="preserve">Script 10</t>
  </si>
  <si>
    <t xml:space="preserve">Abrir las 4 pantallas con un rango amplio; buscar por pedido; abrir el enlace al pedido.</t>
  </si>
  <si>
    <t xml:space="preserve">Totales = BD (referencia 67, 125, 10.153, 330 a la fecha de prueba); enlace abre el detalle.</t>
  </si>
  <si>
    <t xml:space="preserve">SELECT COUNT(*) FROM &lt;tabla de log&gt; WHERE fecha BETWEEN ...</t>
  </si>
  <si>
    <t xml:space="preserve">E2-02</t>
  </si>
  <si>
    <t xml:space="preserve">T14a</t>
  </si>
  <si>
    <t xml:space="preserve">Log de órdenes &gt; Solicitudes de ajustes</t>
  </si>
  <si>
    <t xml:space="preserve">Log de ordenes de compra</t>
  </si>
  <si>
    <t xml:space="preserve">Script 11, 15</t>
  </si>
  <si>
    <t xml:space="preserve">Filtrar por fechas; revisar OC 742 (devuelto) y 752 (confirmada).</t>
  </si>
  <si>
    <t xml:space="preserve">Una fila por solicitud con resolución (En aprobación / Aprobada / Devuelta), quién y motivo. Estado correcto tras script 15.</t>
  </si>
  <si>
    <t xml:space="preserve">SELECT * FROM PURCHASE_ORDER_ADJUSTMENT_LOG WHERE PURCHASE_ORDER_ID IN (742,752);</t>
  </si>
  <si>
    <t xml:space="preserve">E2-03</t>
  </si>
  <si>
    <t xml:space="preserve">T14b</t>
  </si>
  <si>
    <t xml:space="preserve">Log de órdenes &gt; Tolerancias de ajustes</t>
  </si>
  <si>
    <t xml:space="preserve">Script 11</t>
  </si>
  <si>
    <t xml:space="preserve">Revisar el cambio de tolerancia 351–400 a 0,06.</t>
  </si>
  <si>
    <t xml:space="preserve">Valor anterior y nuevo correctos; el último cambio toma el valor actual.</t>
  </si>
  <si>
    <t xml:space="preserve">SELECT * FROM PURCHASE_ORDER_APPROVAL_RANGE_LOG ORDER BY 1 DESC;</t>
  </si>
  <si>
    <t xml:space="preserve">E2-04</t>
  </si>
  <si>
    <t xml:space="preserve">T15/T16</t>
  </si>
  <si>
    <t xml:space="preserve">Log del sistema &gt; Log general</t>
  </si>
  <si>
    <t xml:space="preserve">Script 12</t>
  </si>
  <si>
    <t xml:space="preserve">Filtrar por fecha, nivel, origen y texto; abrir ocurrencias y detalle técnico.</t>
  </si>
  <si>
    <t xml:space="preserve">Grupos por plantilla con ocurrencias, primera y última fecha; detalle con excepción y propiedades.</t>
  </si>
  <si>
    <t xml:space="preserve">SELECT COUNT(*) FROM log.Logs WHERE TimeStamp &gt;= ...</t>
  </si>
  <si>
    <t xml:space="preserve">E2-05</t>
  </si>
  <si>
    <t xml:space="preserve">T15b</t>
  </si>
  <si>
    <t xml:space="preserve">Log general - Autómata de existencias</t>
  </si>
  <si>
    <t xml:space="preserve">Script 13 + NLog.config del autómata</t>
  </si>
  <si>
    <t xml:space="preserve">Ejecutar el autómata; filtrar origen 'AutomataExistencias'.</t>
  </si>
  <si>
    <t xml:space="preserve">Mensajes del autómata agrupados, niveles Information/Warning.</t>
  </si>
  <si>
    <t xml:space="preserve">SELECT TOP 10 * FROM log.Logs WHERE ... 'AutomataExistencias' ORDER BY TimeStamp DESC;</t>
  </si>
  <si>
    <t xml:space="preserve">E2-06</t>
  </si>
  <si>
    <t xml:space="preserve">T18</t>
  </si>
  <si>
    <t xml:space="preserve">Deuda 4 - estado en log de ajustes</t>
  </si>
  <si>
    <t xml:space="preserve">Script 15</t>
  </si>
  <si>
    <t xml:space="preserve">Confirmar una OC con ajustes aprobados.</t>
  </si>
  <si>
    <t xml:space="preserve">El log registra el estado nuevo (Confirmada).</t>
  </si>
  <si>
    <t xml:space="preserve">SELECT TOP 5 * FROM PURCHASE_ORDER_ADJUSTMENT_LOG ORDER BY 1 DESC;</t>
  </si>
  <si>
    <t xml:space="preserve">E3-01</t>
  </si>
  <si>
    <t xml:space="preserve">E3</t>
  </si>
  <si>
    <t xml:space="preserve">T19</t>
  </si>
  <si>
    <t xml:space="preserve">OC - edición sin cambio de cantidad</t>
  </si>
  <si>
    <t xml:space="preserve">Referencia en alarma con visualizaciones</t>
  </si>
  <si>
    <t xml:space="preserve">Editar la OC sin cambiar cantidades.</t>
  </si>
  <si>
    <t xml:space="preserve">La alarma activa no se refresca y conserva sus visualizaciones.</t>
  </si>
  <si>
    <t xml:space="preserve">SELECT * FROM visualized_minimum_quantity_alarms WHERE MINIMUM_QUANTITY_ALARM_ID = ...</t>
  </si>
  <si>
    <t xml:space="preserve">E3-02</t>
  </si>
  <si>
    <t xml:space="preserve">T20</t>
  </si>
  <si>
    <t xml:space="preserve">Reportes &gt; Artículos y referencias</t>
  </si>
  <si>
    <t xml:space="preserve">Script 16</t>
  </si>
  <si>
    <t xml:space="preserve">Probar las 10 condiciones de tres estados (Sí, No, Todos) y el resumen 'Condición: Sí/No'.</t>
  </si>
  <si>
    <t xml:space="preserve">Conteos = BD por cada condición.</t>
  </si>
  <si>
    <t xml:space="preserve">Consultas de conteo por IS_ACTIVE, IS_BOMB_PRICE, etc.</t>
  </si>
  <si>
    <t xml:space="preserve">E3-03</t>
  </si>
  <si>
    <t xml:space="preserve">T21</t>
  </si>
  <si>
    <t xml:space="preserve">Reportes &gt; Stock mínimo de bodega</t>
  </si>
  <si>
    <t xml:space="preserve">Precio bomba Sí/No/Todos.</t>
  </si>
  <si>
    <t xml:space="preserve">Conteos = BD.</t>
  </si>
  <si>
    <t xml:space="preserve">E3-04</t>
  </si>
  <si>
    <t xml:space="preserve">T22/T22b</t>
  </si>
  <si>
    <t xml:space="preserve">Reportes &gt; Movimiento de referencia</t>
  </si>
  <si>
    <t xml:space="preserve">Artículo activo / Referencia activa / Precio bomba en Sí, No y Todos (por defecto Sí/Sí/Todos).</t>
  </si>
  <si>
    <t xml:space="preserve">Conteos = BD (referencia: 6252 / 1100 / 483 / 24).</t>
  </si>
  <si>
    <t xml:space="preserve">E3-05</t>
  </si>
  <si>
    <t xml:space="preserve">T22</t>
  </si>
  <si>
    <t xml:space="preserve">Movimiento de referencia desde alarma</t>
  </si>
  <si>
    <t xml:space="preserve">Alarma de mínimos activa</t>
  </si>
  <si>
    <t xml:space="preserve">Abrir el reporte desde el diálogo de la alarma.</t>
  </si>
  <si>
    <t xml:space="preserve">Referencia bloqueada; Precio bomba deshabilitado; reporte correcto.</t>
  </si>
  <si>
    <t xml:space="preserve">Pendiente desde T22.</t>
  </si>
  <si>
    <t xml:space="preserve">E3-06</t>
  </si>
  <si>
    <t xml:space="preserve">T23</t>
  </si>
  <si>
    <t xml:space="preserve">BD - Pedido especial</t>
  </si>
  <si>
    <t xml:space="preserve">Script 17</t>
  </si>
  <si>
    <t xml:space="preserve">Ejecutar 17 dos veces.</t>
  </si>
  <si>
    <t xml:space="preserve">Columna creada una sola vez; pedidos existentes = No.</t>
  </si>
  <si>
    <t xml:space="preserve">SELECT COUNT(*) FROM customer_orders WHERE IS_SPECIAL_ORDER &lt;&gt; 0; -- 0 antes de crear especiales</t>
  </si>
  <si>
    <t xml:space="preserve">E3-07</t>
  </si>
  <si>
    <t xml:space="preserve">T24</t>
  </si>
  <si>
    <t xml:space="preserve">Pedidos &gt; Crear</t>
  </si>
  <si>
    <t xml:space="preserve">Creación de pedidos</t>
  </si>
  <si>
    <t xml:space="preserve">Guardar sin elegir Pedido especial; elegir Sí y en la confirmación 'No, modificar'; luego 'Sí, crear'.</t>
  </si>
  <si>
    <t xml:space="preserve">Mensaje obligatorio; 'No, modificar' no graba y conserva lo digitado; 'Sí, crear' graba con IS_SPECIAL_ORDER = 1.</t>
  </si>
  <si>
    <t xml:space="preserve">SELECT TOP 2 ORDER_NUMBER, IS_SPECIAL_ORDER FROM customer_orders ORDER BY 1 DESC;</t>
  </si>
  <si>
    <t xml:space="preserve">E3-08</t>
  </si>
  <si>
    <t xml:space="preserve">Reservas &gt; Crear pedido desde reserva</t>
  </si>
  <si>
    <t xml:space="preserve">Modificación de reservas</t>
  </si>
  <si>
    <t xml:space="preserve">Reserva activa</t>
  </si>
  <si>
    <t xml:space="preserve">Mismo flujo de confirmación; revisar tabulación y tildes.</t>
  </si>
  <si>
    <t xml:space="preserve">Igual que Crear; Tab fecha → Pedido especial → notas.</t>
  </si>
  <si>
    <t xml:space="preserve">E3-09</t>
  </si>
  <si>
    <t xml:space="preserve">Pedidos &gt; Editar</t>
  </si>
  <si>
    <t xml:space="preserve">Modificación de pedidos</t>
  </si>
  <si>
    <t xml:space="preserve">Pedido especial creado</t>
  </si>
  <si>
    <t xml:space="preserve">Cambiar Sí→No: confirmación de cambio ('No, modificar' / 'Sí, cambiar'); editar solo notas.</t>
  </si>
  <si>
    <t xml:space="preserve">Confirma solo si cambia; queda en Track y en log de modificaciones.</t>
  </si>
  <si>
    <t xml:space="preserve">SELECT IS_SPECIAL_ORDER FROM customer_orders WHERE ORDER_NUMBER = '...';</t>
  </si>
  <si>
    <t xml:space="preserve">E3-10</t>
  </si>
  <si>
    <t xml:space="preserve">T25</t>
  </si>
  <si>
    <t xml:space="preserve">Pedidos &gt; Lista</t>
  </si>
  <si>
    <t xml:space="preserve">Consulta de pedidos</t>
  </si>
  <si>
    <t xml:space="preserve">Pedidos Sí y No</t>
  </si>
  <si>
    <t xml:space="preserve">Columna; casilla de tres estados con buscador; cambiar estando en página 3.</t>
  </si>
  <si>
    <t xml:space="preserve">Conteos = BD; vuelve a página 1.</t>
  </si>
  <si>
    <t xml:space="preserve">SELECT IS_SPECIAL_ORDER, COUNT(*) FROM customer_orders GROUP BY IS_SPECIAL_ORDER;</t>
  </si>
  <si>
    <t xml:space="preserve">E3-11</t>
  </si>
  <si>
    <t xml:space="preserve">Detalle del pedido</t>
  </si>
  <si>
    <t xml:space="preserve">Abrir el detalle desde un log o notificación.</t>
  </si>
  <si>
    <t xml:space="preserve">Muestra 'Pedido especial: Sí/No'.</t>
  </si>
  <si>
    <t xml:space="preserve">E3-12</t>
  </si>
  <si>
    <t xml:space="preserve">Resumen del pedido (imprimir / PDF / correo)</t>
  </si>
  <si>
    <t xml:space="preserve">Descarga de formato de pedidos</t>
  </si>
  <si>
    <t xml:space="preserve">Pedido especial con notas internas</t>
  </si>
  <si>
    <t xml:space="preserve">Imprimir; Guardar PDF; enviar correo al cliente 79872389.</t>
  </si>
  <si>
    <t xml:space="preserve">Imprimir y PDF incluyen Pedido especial y Observaciones internas; el PDF del correo NO las incluye.</t>
  </si>
  <si>
    <t xml:space="preserve">E3-13</t>
  </si>
  <si>
    <t xml:space="preserve">T26</t>
  </si>
  <si>
    <t xml:space="preserve">BD - script 18</t>
  </si>
  <si>
    <t xml:space="preserve">Scripts 17 y anteriores</t>
  </si>
  <si>
    <t xml:space="preserve">Ejecutar 18 dos veces.</t>
  </si>
  <si>
    <t xml:space="preserve">8 líneas '… actualizado' sin errores; si sale 'estructura esperada', detener.</t>
  </si>
  <si>
    <t xml:space="preserve">SELECT OBJECT_NAME FROM RQM_LOGS_OBJECT_BACKUP;</t>
  </si>
  <si>
    <t xml:space="preserve">E3-14</t>
  </si>
  <si>
    <t xml:space="preserve">Reportes &gt; Pedidos</t>
  </si>
  <si>
    <t xml:space="preserve">Rol del reporte</t>
  </si>
  <si>
    <t xml:space="preserve">Pedidos especiales de prueba</t>
  </si>
  <si>
    <t xml:space="preserve">Filtrar solo con Pedido especial = Sí; luego No + cliente/fechas; luego Todos.</t>
  </si>
  <si>
    <t xml:space="preserve">Sí solo especiales; No ningún especial; Todos igual que antes. Dato por pedido y condición en el resumen (pantalla e impresión).</t>
  </si>
  <si>
    <t xml:space="preserve">SELECT ORDER_NUMBER FROM customer_orders WHERE IS_SPECIAL_ORDER = 1;</t>
  </si>
  <si>
    <t xml:space="preserve">E3-15</t>
  </si>
  <si>
    <t xml:space="preserve">Reportes &gt; Back order</t>
  </si>
  <si>
    <t xml:space="preserve">E3-16</t>
  </si>
  <si>
    <t xml:space="preserve">Reportes &gt; Actividades</t>
  </si>
  <si>
    <t xml:space="preserve">E3-17</t>
  </si>
  <si>
    <t xml:space="preserve">Reportes &gt; Ventas</t>
  </si>
  <si>
    <t xml:space="preserve">E3-18</t>
  </si>
  <si>
    <t xml:space="preserve">Reportes &gt; Asignación automática</t>
  </si>
  <si>
    <t xml:space="preserve">E3-19</t>
  </si>
  <si>
    <t xml:space="preserve">Reportes &gt; Pendientes de traslado automático</t>
  </si>
  <si>
    <t xml:space="preserve">E3-20</t>
  </si>
  <si>
    <t xml:space="preserve">Asignación automática - filtros combinados</t>
  </si>
  <si>
    <t xml:space="preserve">Fecha de pedido + otro filtro; fecha estimada inicial y final.</t>
  </si>
  <si>
    <t xml:space="preserve">Sin error (antes fallaba).</t>
  </si>
  <si>
    <t xml:space="preserve">E3-21</t>
  </si>
  <si>
    <t xml:space="preserve">Pendientes de traslado - filtros</t>
  </si>
  <si>
    <t xml:space="preserve">Filtrar por cliente, estado, fecha de pedido, fecha de proceso; referencias + otro filtro.</t>
  </si>
  <si>
    <t xml:space="preserve">Ahora filtran (antes se ignoraban); sin error de coma doble.</t>
  </si>
  <si>
    <t xml:space="preserve">E3-22</t>
  </si>
  <si>
    <t xml:space="preserve">Exportaciones Pedidos y Back order (CSV/Excel)</t>
  </si>
  <si>
    <t xml:space="preserve">Exportar con filtros (incl. Pedido especial = Sí) y sin filtros.</t>
  </si>
  <si>
    <t xml:space="preserve">Columna 'Pedido especial'; respeta filtros; encabezado 'Observaciones Internas'.</t>
  </si>
  <si>
    <t xml:space="preserve">E3-23</t>
  </si>
  <si>
    <t xml:space="preserve">Seguridad de exportaciones</t>
  </si>
  <si>
    <t xml:space="preserve">Sin sesión / con sesión</t>
  </si>
  <si>
    <t xml:space="preserve">Incógnito: abrir /export/AldebaranDb/customer-order/excel. Con sesión: ?OrderNumber=1' OR '1'='1.</t>
  </si>
  <si>
    <t xml:space="preserve">Sin sesión pide login; con inyección no trae pedidos ni ejecuta nada.</t>
  </si>
  <si>
    <t xml:space="preserve">E3-24</t>
  </si>
  <si>
    <t xml:space="preserve">T27</t>
  </si>
  <si>
    <t xml:space="preserve">Logs de pedidos (modificación, cancelación, cierre)</t>
  </si>
  <si>
    <t xml:space="preserve">Revisar la columna y el título 'Modificado por'.</t>
  </si>
  <si>
    <t xml:space="preserve">Columna = BD; título corregido.</t>
  </si>
  <si>
    <t xml:space="preserve">E3-25</t>
  </si>
  <si>
    <t xml:space="preserve">Logs de despachos y traslados</t>
  </si>
  <si>
    <t xml:space="preserve">Script 19</t>
  </si>
  <si>
    <t xml:space="preserve">Ejecutar 19 dos veces; abrir las 4 pantallas.</t>
  </si>
  <si>
    <t xml:space="preserve">Columna 'Pedido especial' = BD.</t>
  </si>
  <si>
    <t xml:space="preserve">E3-26</t>
  </si>
  <si>
    <t xml:space="preserve">T28</t>
  </si>
  <si>
    <t xml:space="preserve">Tablero</t>
  </si>
  <si>
    <t xml:space="preserve">Pedidos vencidos; OC confirmadas con asignación automática (expandir); modificaciones de traslados automáticos.</t>
  </si>
  <si>
    <t xml:space="preserve">Columna 'Pedido especial' en las tres.</t>
  </si>
  <si>
    <t xml:space="preserve">E3-27</t>
  </si>
  <si>
    <t xml:space="preserve">Despachos y traslados a proceso</t>
  </si>
  <si>
    <t xml:space="preserve">Despachos / Traslados</t>
  </si>
  <si>
    <t xml:space="preserve">Lista de pedidos; crear y modificar despacho y traslado.</t>
  </si>
  <si>
    <t xml:space="preserve">Columna en lista; 'Pedido especial: Sí/No' en el encabezado; tildes correctas.</t>
  </si>
  <si>
    <t xml:space="preserve">E3-28</t>
  </si>
  <si>
    <t xml:space="preserve">T29</t>
  </si>
  <si>
    <t xml:space="preserve">Pedidos &gt; Cerrar pedido en proceso</t>
  </si>
  <si>
    <t xml:space="preserve">Cierre de pedidos</t>
  </si>
  <si>
    <t xml:space="preserve">Pedido con cantidades en proceso que se pueda cerrar</t>
  </si>
  <si>
    <t xml:space="preserve">Cerrar el pedido.</t>
  </si>
  <si>
    <t xml:space="preserve">Cierra y aparece en el log de cierre con su columna Pedido especial.</t>
  </si>
  <si>
    <t xml:space="preserve">Pendiente desde T23.</t>
  </si>
  <si>
    <t xml:space="preserve">E4-01</t>
  </si>
  <si>
    <t xml:space="preserve">E4</t>
  </si>
  <si>
    <t xml:space="preserve">C1</t>
  </si>
  <si>
    <t xml:space="preserve">BD - script 20</t>
  </si>
  <si>
    <t xml:space="preserve">Ejecutar 20 dos veces.</t>
  </si>
  <si>
    <t xml:space="preserve">Sin errores; objetos creados una vez.</t>
  </si>
  <si>
    <t xml:space="preserve">SELECT name FROM sys.objects WHERE name LIKE '%INTERNAL_REFERENCE%';</t>
  </si>
  <si>
    <t xml:space="preserve">E4-02</t>
  </si>
  <si>
    <t xml:space="preserve">C3/C5</t>
  </si>
  <si>
    <t xml:space="preserve">Consecutivos - validaciones</t>
  </si>
  <si>
    <t xml:space="preserve">Modificación de artículos</t>
  </si>
  <si>
    <t xml:space="preserve">Generar sin código; con espacios; con 7 caracteres; cantidad 0.</t>
  </si>
  <si>
    <t xml:space="preserve">Mensajes de validación; no genera.</t>
  </si>
  <si>
    <t xml:space="preserve">E4-03</t>
  </si>
  <si>
    <t xml:space="preserve">C5</t>
  </si>
  <si>
    <t xml:space="preserve">Consecutivos - código nuevo</t>
  </si>
  <si>
    <t xml:space="preserve">Código sin artículos ni generados (ej. ZZ)</t>
  </si>
  <si>
    <t xml:space="preserve">Cantidad 3, Generar.</t>
  </si>
  <si>
    <t xml:space="preserve">Genera ZZ-001, ZZ-002, ZZ-003 (Generado ahora = Sí).</t>
  </si>
  <si>
    <t xml:space="preserve">SELECT * FROM INTERNAL_REFERENCE_CONSECUTIVES WHERE CODE = 'ZZ';</t>
  </si>
  <si>
    <t xml:space="preserve">E4-04</t>
  </si>
  <si>
    <t xml:space="preserve">Consecutivos - código con artículos</t>
  </si>
  <si>
    <t xml:space="preserve">Código con artículos (ej. el mayor es MU-025), sin disponibles</t>
  </si>
  <si>
    <t xml:space="preserve">Cantidad 2, Generar.</t>
  </si>
  <si>
    <t xml:space="preserve">Genera MU-026 y MU-027 (por encima del mayor usado).</t>
  </si>
  <si>
    <t xml:space="preserve">SELECT MAX(INTERNAL_REFERENCE) FROM items WHERE INTERNAL_REFERENCE LIKE 'MU-[0-9][0-9][0-9]';</t>
  </si>
  <si>
    <t xml:space="preserve">E4-05</t>
  </si>
  <si>
    <t xml:space="preserve">Consecutivos - usado se elimina</t>
  </si>
  <si>
    <t xml:space="preserve">MU-026 y MU-027 disponibles</t>
  </si>
  <si>
    <t xml:space="preserve">Crear un artículo con MU-026; Consultar MU.</t>
  </si>
  <si>
    <t xml:space="preserve">Solo aparece MU-027 y MU-026 ya no está en la tabla.</t>
  </si>
  <si>
    <t xml:space="preserve">SELECT * FROM INTERNAL_REFERENCE_CONSECUTIVES WHERE CODE = 'MU'; -- solo 27</t>
  </si>
  <si>
    <t xml:space="preserve">E4-06</t>
  </si>
  <si>
    <t xml:space="preserve">Consecutivos - completar hasta N</t>
  </si>
  <si>
    <t xml:space="preserve">MU-027 disponible; mayor usado MU-026</t>
  </si>
  <si>
    <t xml:space="preserve">Cantidad 4, Generar.</t>
  </si>
  <si>
    <t xml:space="preserve">Crea MU-028 a MU-030; quedan 4 disponibles (027 con Generado ahora = No).</t>
  </si>
  <si>
    <t xml:space="preserve">E4-07</t>
  </si>
  <si>
    <t xml:space="preserve">Consecutivos - ya hay suficientes</t>
  </si>
  <si>
    <t xml:space="preserve">4 disponibles</t>
  </si>
  <si>
    <t xml:space="preserve">No genera; mensaje informativo; muestra los 4 disponibles.</t>
  </si>
  <si>
    <t xml:space="preserve">E4-08</t>
  </si>
  <si>
    <t xml:space="preserve">Consecutivos - minúsculas y prefijos</t>
  </si>
  <si>
    <t xml:space="preserve">Consultar 'mu'; generar para MUX.</t>
  </si>
  <si>
    <t xml:space="preserve">'mu' = MU; MUX no se mezcla con MU.</t>
  </si>
  <si>
    <t xml:space="preserve">E4-09</t>
  </si>
  <si>
    <t xml:space="preserve">Consecutivos - complementos</t>
  </si>
  <si>
    <t xml:space="preserve">MU-031 disponible</t>
  </si>
  <si>
    <t xml:space="preserve">Crear un artículo con MU-031-2 (o MU-031-X); Consultar MU.</t>
  </si>
  <si>
    <t xml:space="preserve">MU-031 se elimina de los disponibles.</t>
  </si>
  <si>
    <t xml:space="preserve">E4-10</t>
  </si>
  <si>
    <t xml:space="preserve">Consecutivos - referencias de 2 dígitos</t>
  </si>
  <si>
    <t xml:space="preserve">Artículos existentes MU-40 o MU-40-1 (mayor del código)</t>
  </si>
  <si>
    <t xml:space="preserve">Cantidad 1 sin disponibles, Generar.</t>
  </si>
  <si>
    <t xml:space="preserve">Genera MU-041 (MU-40 se toma como 040).</t>
  </si>
  <si>
    <t xml:space="preserve">SELECT INTERNAL_REFERENCE FROM items WHERE INTERNAL_REFERENCE LIKE 'MU-%';</t>
  </si>
  <si>
    <t xml:space="preserve">E4-11</t>
  </si>
  <si>
    <t xml:space="preserve">C6</t>
  </si>
  <si>
    <t xml:space="preserve">Consecutivos - concurrencia</t>
  </si>
  <si>
    <t xml:space="preserve">Dos usuarios</t>
  </si>
  <si>
    <t xml:space="preserve">Dos sesiones generan para el mismo código al mismo tiempo.</t>
  </si>
  <si>
    <t xml:space="preserve">Sin consecutivos duplicados (PK código+número).</t>
  </si>
  <si>
    <t xml:space="preserve">SELECT CODE, CONSECUTIVE, COUNT(*) FROM INTERNAL_REFERENCE_CONSECUTIVES GROUP BY CODE, CONSECUTIVE HAVING COUNT(*) &gt; 1; -- 0 filas</t>
  </si>
  <si>
    <t xml:space="preserve">E4-12</t>
  </si>
  <si>
    <t xml:space="preserve">C4</t>
  </si>
  <si>
    <t xml:space="preserve">Pruebas unitarias</t>
  </si>
  <si>
    <t xml:space="preserve">Desarrollo</t>
  </si>
  <si>
    <t xml:space="preserve">dotnet test sobre Aldebaran.Application.Services.Tests.</t>
  </si>
  <si>
    <t xml:space="preserve">Todas en verde.</t>
  </si>
  <si>
    <t xml:space="preserve">Área</t>
  </si>
  <si>
    <t xml:space="preserve">R-01</t>
  </si>
  <si>
    <t xml:space="preserve">Logs existentes de OC, pedidos y reservas</t>
  </si>
  <si>
    <t xml:space="preserve">Abrir cada log con rango amplio</t>
  </si>
  <si>
    <t xml:space="preserve">Cargan sin errores; totales = BD</t>
  </si>
  <si>
    <t xml:space="preserve">R-02</t>
  </si>
  <si>
    <t xml:space="preserve">Tablero de notificaciones y alarmas</t>
  </si>
  <si>
    <t xml:space="preserve">Abrir todas las pestañas y marcar visualizado</t>
  </si>
  <si>
    <t xml:space="preserve">Cargan; marcar visualizado funciona y queda en el log</t>
  </si>
  <si>
    <t xml:space="preserve">R-03</t>
  </si>
  <si>
    <t xml:space="preserve">Reporte de cantidades mínimas y correo con Excel</t>
  </si>
  <si>
    <t xml:space="preserve">Generar el reporte y el correo</t>
  </si>
  <si>
    <t xml:space="preserve">Datos = BD; Excel con marca $ BOMBA</t>
  </si>
  <si>
    <t xml:space="preserve">R-04</t>
  </si>
  <si>
    <t xml:space="preserve">Pedido: crear / modificar / cancelar / cerrar</t>
  </si>
  <si>
    <t xml:space="preserve">Flujo completo</t>
  </si>
  <si>
    <t xml:space="preserve">Sin errores; queda en Track y logs</t>
  </si>
  <si>
    <t xml:space="preserve">R-05</t>
  </si>
  <si>
    <t xml:space="preserve">OC: crear / modificar / cancelar / confirmar</t>
  </si>
  <si>
    <t xml:space="preserve">Sin errores; alarmas y log de ajustes correctos</t>
  </si>
  <si>
    <t xml:space="preserve">R-06</t>
  </si>
  <si>
    <t xml:space="preserve">Reserva: crear / modificar / cancelar / pasar a pedido</t>
  </si>
  <si>
    <t xml:space="preserve">Sin errores; Track y logs</t>
  </si>
  <si>
    <t xml:space="preserve">R-07</t>
  </si>
  <si>
    <t xml:space="preserve">Permisos</t>
  </si>
  <si>
    <t xml:space="preserve">Usuario con un solo rol por pantalla nueva</t>
  </si>
  <si>
    <t xml:space="preserve">Ve solo lo que su rol permite; tildes de roles correctas</t>
  </si>
  <si>
    <t xml:space="preserve">Dato</t>
  </si>
  <si>
    <t xml:space="preserve">Detalle</t>
  </si>
  <si>
    <t xml:space="preserve">Acción al cierre (T30)</t>
  </si>
  <si>
    <t xml:space="preserve">Precio bomba</t>
  </si>
  <si>
    <t xml:space="preserve">HO-13 (ITEM_ID 2554, ancho embalaje 29, original 28) y ASTON-STY (2047)</t>
  </si>
  <si>
    <t xml:space="preserve">Restaurar al cierre</t>
  </si>
  <si>
    <t xml:space="preserve">Remitente SMTP pruebas</t>
  </si>
  <si>
    <t xml:space="preserve">'Catalogos Promocionales T2'</t>
  </si>
  <si>
    <t xml:space="preserve">Devolver a 'Catalogos Promocionales' (clave la carga Andrés)</t>
  </si>
  <si>
    <t xml:space="preserve">Conexión autómata / FTP / patrón</t>
  </si>
  <si>
    <t xml:space="preserve">SERVIDOR-PRUEBA-T2, ftp.prueba-t2.invalid, PATRON PRUEBA T2 NO USAR (inactivos)</t>
  </si>
  <si>
    <t xml:space="preserve">Eliminar o dejar inactivos</t>
  </si>
  <si>
    <t xml:space="preserve">Pedidos y reservas</t>
  </si>
  <si>
    <t xml:space="preserve">Reserva 92; pedidos 39469, 39463 (cancelado), 39175 (cerrado), 39471 (cancelado, VA-196 Azul) y los de T24</t>
  </si>
  <si>
    <t xml:space="preserve">Documentar en el cierre</t>
  </si>
  <si>
    <t xml:space="preserve">Alarmas / OC / tolerancias</t>
  </si>
  <si>
    <t xml:space="preserve">Alarmas 825 y 826; OC 752 confirmada; ajuste OC 742 devuelto; tolerancia 351–400 en 0,06</t>
  </si>
  <si>
    <t xml:space="preserve">Restaurar tolerancia si aplica</t>
  </si>
  <si>
    <t xml:space="preserve">Cliente para correos</t>
  </si>
  <si>
    <t xml:space="preserve">Cédula 79872389 (de Andrés)</t>
  </si>
  <si>
    <t xml:space="preserve">Casos</t>
  </si>
  <si>
    <t xml:space="preserve">OK</t>
  </si>
  <si>
    <t xml:space="preserve">Corrección</t>
  </si>
  <si>
    <t xml:space="preserve">Pendiente</t>
  </si>
  <si>
    <t xml:space="preserve">No aplica</t>
  </si>
  <si>
    <t xml:space="preserve">Sin ejecutar</t>
  </si>
  <si>
    <t xml:space="preserve">% OK</t>
  </si>
  <si>
    <t xml:space="preserve">Total</t>
  </si>
  <si>
    <t xml:space="preserve">Regresión: casos</t>
  </si>
  <si>
    <t xml:space="preserve">Regresión: 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</si>
</sst>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8" min="7" style="0" width="50"/>
    <col collapsed="false" customWidth="true" hidden="false" outlineLevel="0" max="9" min="9" style="0" width="42"/>
    <col collapsed="false" customWidth="true" hidden="false" outlineLevel="0" max="10" min="10" style="0" width="13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customFormat="false" ht="57.45" hidden="false" customHeight="false" outlineLevel="0" collapsed="false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6"/>
      <c r="K2" s="6"/>
      <c r="L2" s="6"/>
      <c r="M2" s="6"/>
    </row>
    <row r="3" customFormat="false" ht="35.05" hidden="false" customHeight="false" outlineLevel="0" collapsed="false">
      <c r="A3" s="5" t="s">
        <v>32</v>
      </c>
      <c r="B3" s="5" t="s">
        <v>24</v>
      </c>
      <c r="C3" s="5" t="s">
        <v>25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6"/>
      <c r="K3" s="6"/>
      <c r="L3" s="6"/>
      <c r="M3" s="6"/>
    </row>
    <row r="4" customFormat="false" ht="46.25" hidden="false" customHeight="false" outlineLevel="0" collapsed="false">
      <c r="A4" s="5" t="s">
        <v>39</v>
      </c>
      <c r="B4" s="5" t="s">
        <v>24</v>
      </c>
      <c r="C4" s="5" t="s">
        <v>40</v>
      </c>
      <c r="D4" s="5" t="s">
        <v>41</v>
      </c>
      <c r="E4" s="5" t="s">
        <v>34</v>
      </c>
      <c r="F4" s="5" t="s">
        <v>42</v>
      </c>
      <c r="G4" s="5" t="s">
        <v>43</v>
      </c>
      <c r="H4" s="5" t="s">
        <v>44</v>
      </c>
      <c r="I4" s="5" t="s">
        <v>45</v>
      </c>
      <c r="J4" s="6"/>
      <c r="K4" s="6"/>
      <c r="L4" s="6"/>
      <c r="M4" s="6"/>
    </row>
    <row r="5" customFormat="false" ht="23.85" hidden="false" customHeight="false" outlineLevel="0" collapsed="false">
      <c r="A5" s="5" t="s">
        <v>46</v>
      </c>
      <c r="B5" s="5" t="s">
        <v>24</v>
      </c>
      <c r="C5" s="5" t="s">
        <v>40</v>
      </c>
      <c r="D5" s="5" t="s">
        <v>47</v>
      </c>
      <c r="E5" s="5" t="s">
        <v>27</v>
      </c>
      <c r="F5" s="5" t="s">
        <v>48</v>
      </c>
      <c r="G5" s="5" t="s">
        <v>49</v>
      </c>
      <c r="H5" s="5" t="s">
        <v>50</v>
      </c>
      <c r="I5" s="5" t="s">
        <v>51</v>
      </c>
      <c r="J5" s="6"/>
      <c r="K5" s="6"/>
      <c r="L5" s="6"/>
      <c r="M5" s="6"/>
    </row>
    <row r="6" customFormat="false" ht="57.45" hidden="false" customHeight="false" outlineLevel="0" collapsed="false">
      <c r="A6" s="5" t="s">
        <v>52</v>
      </c>
      <c r="B6" s="5" t="s">
        <v>24</v>
      </c>
      <c r="C6" s="5" t="s">
        <v>53</v>
      </c>
      <c r="D6" s="5" t="s">
        <v>54</v>
      </c>
      <c r="E6" s="5" t="s">
        <v>34</v>
      </c>
      <c r="F6" s="5" t="s">
        <v>42</v>
      </c>
      <c r="G6" s="5" t="s">
        <v>55</v>
      </c>
      <c r="H6" s="5" t="s">
        <v>56</v>
      </c>
      <c r="I6" s="5" t="s">
        <v>57</v>
      </c>
      <c r="J6" s="6"/>
      <c r="K6" s="6"/>
      <c r="L6" s="6"/>
      <c r="M6" s="6"/>
    </row>
    <row r="7" customFormat="false" ht="23.85" hidden="false" customHeight="false" outlineLevel="0" collapsed="false">
      <c r="A7" s="5" t="s">
        <v>58</v>
      </c>
      <c r="B7" s="5" t="s">
        <v>24</v>
      </c>
      <c r="C7" s="5" t="s">
        <v>59</v>
      </c>
      <c r="D7" s="5" t="s">
        <v>60</v>
      </c>
      <c r="E7" s="5" t="s">
        <v>27</v>
      </c>
      <c r="F7" s="5" t="s">
        <v>61</v>
      </c>
      <c r="G7" s="5" t="s">
        <v>62</v>
      </c>
      <c r="H7" s="5" t="s">
        <v>63</v>
      </c>
      <c r="I7" s="5" t="s">
        <v>64</v>
      </c>
      <c r="J7" s="6"/>
      <c r="K7" s="6"/>
      <c r="L7" s="6"/>
      <c r="M7" s="6"/>
    </row>
    <row r="8" customFormat="false" ht="46.25" hidden="false" customHeight="false" outlineLevel="0" collapsed="false">
      <c r="A8" s="5" t="s">
        <v>65</v>
      </c>
      <c r="B8" s="5" t="s">
        <v>24</v>
      </c>
      <c r="C8" s="5" t="s">
        <v>66</v>
      </c>
      <c r="D8" s="5" t="s">
        <v>67</v>
      </c>
      <c r="E8" s="5" t="s">
        <v>34</v>
      </c>
      <c r="F8" s="5" t="s">
        <v>68</v>
      </c>
      <c r="G8" s="5" t="s">
        <v>69</v>
      </c>
      <c r="H8" s="5" t="s">
        <v>70</v>
      </c>
      <c r="I8" s="5" t="s">
        <v>71</v>
      </c>
      <c r="J8" s="6"/>
      <c r="K8" s="6"/>
      <c r="L8" s="6"/>
      <c r="M8" s="6"/>
    </row>
    <row r="9" customFormat="false" ht="35.05" hidden="false" customHeight="false" outlineLevel="0" collapsed="false">
      <c r="A9" s="5" t="s">
        <v>72</v>
      </c>
      <c r="B9" s="5" t="s">
        <v>24</v>
      </c>
      <c r="C9" s="5" t="s">
        <v>66</v>
      </c>
      <c r="D9" s="5" t="s">
        <v>73</v>
      </c>
      <c r="E9" s="5" t="s">
        <v>34</v>
      </c>
      <c r="F9" s="5" t="s">
        <v>74</v>
      </c>
      <c r="G9" s="5" t="s">
        <v>75</v>
      </c>
      <c r="H9" s="5" t="s">
        <v>76</v>
      </c>
      <c r="I9" s="5" t="s">
        <v>77</v>
      </c>
      <c r="J9" s="6"/>
      <c r="K9" s="6"/>
      <c r="L9" s="6"/>
      <c r="M9" s="6"/>
    </row>
    <row r="10" customFormat="false" ht="23.85" hidden="false" customHeight="false" outlineLevel="0" collapsed="false">
      <c r="A10" s="5" t="s">
        <v>78</v>
      </c>
      <c r="B10" s="5" t="s">
        <v>24</v>
      </c>
      <c r="C10" s="5" t="s">
        <v>79</v>
      </c>
      <c r="D10" s="5" t="s">
        <v>80</v>
      </c>
      <c r="E10" s="5" t="s">
        <v>27</v>
      </c>
      <c r="F10" s="5" t="s">
        <v>81</v>
      </c>
      <c r="G10" s="5" t="s">
        <v>82</v>
      </c>
      <c r="H10" s="5" t="s">
        <v>83</v>
      </c>
      <c r="I10" s="5" t="s">
        <v>84</v>
      </c>
      <c r="J10" s="6"/>
      <c r="K10" s="6"/>
      <c r="L10" s="6"/>
      <c r="M10" s="6"/>
    </row>
    <row r="11" customFormat="false" ht="23.85" hidden="false" customHeight="false" outlineLevel="0" collapsed="false">
      <c r="A11" s="5" t="s">
        <v>85</v>
      </c>
      <c r="B11" s="5" t="s">
        <v>24</v>
      </c>
      <c r="C11" s="5" t="s">
        <v>86</v>
      </c>
      <c r="D11" s="5" t="s">
        <v>87</v>
      </c>
      <c r="E11" s="5" t="s">
        <v>88</v>
      </c>
      <c r="F11" s="5" t="s">
        <v>89</v>
      </c>
      <c r="G11" s="5" t="s">
        <v>90</v>
      </c>
      <c r="H11" s="5" t="s">
        <v>91</v>
      </c>
      <c r="I11" s="5" t="s">
        <v>92</v>
      </c>
      <c r="J11" s="6"/>
      <c r="K11" s="6"/>
      <c r="L11" s="6"/>
      <c r="M11" s="6"/>
    </row>
    <row r="12" customFormat="false" ht="35.05" hidden="false" customHeight="false" outlineLevel="0" collapsed="false">
      <c r="A12" s="5" t="s">
        <v>93</v>
      </c>
      <c r="B12" s="5" t="s">
        <v>24</v>
      </c>
      <c r="C12" s="5" t="s">
        <v>86</v>
      </c>
      <c r="D12" s="5" t="s">
        <v>94</v>
      </c>
      <c r="E12" s="5" t="s">
        <v>95</v>
      </c>
      <c r="F12" s="5" t="s">
        <v>42</v>
      </c>
      <c r="G12" s="5" t="s">
        <v>96</v>
      </c>
      <c r="H12" s="5" t="s">
        <v>97</v>
      </c>
      <c r="I12" s="5" t="s">
        <v>98</v>
      </c>
      <c r="J12" s="6"/>
      <c r="K12" s="6"/>
      <c r="L12" s="6"/>
      <c r="M12" s="6"/>
    </row>
    <row r="13" customFormat="false" ht="35.05" hidden="false" customHeight="false" outlineLevel="0" collapsed="false">
      <c r="A13" s="5" t="s">
        <v>99</v>
      </c>
      <c r="B13" s="5" t="s">
        <v>24</v>
      </c>
      <c r="C13" s="5" t="s">
        <v>100</v>
      </c>
      <c r="D13" s="5" t="s">
        <v>101</v>
      </c>
      <c r="E13" s="5" t="s">
        <v>102</v>
      </c>
      <c r="F13" s="5" t="s">
        <v>103</v>
      </c>
      <c r="G13" s="5" t="s">
        <v>104</v>
      </c>
      <c r="H13" s="5" t="s">
        <v>105</v>
      </c>
      <c r="I13" s="5" t="s">
        <v>106</v>
      </c>
      <c r="J13" s="6"/>
      <c r="K13" s="6"/>
      <c r="L13" s="6"/>
      <c r="M13" s="6"/>
    </row>
    <row r="14" customFormat="false" ht="35.05" hidden="false" customHeight="false" outlineLevel="0" collapsed="false">
      <c r="A14" s="5" t="s">
        <v>107</v>
      </c>
      <c r="B14" s="5" t="s">
        <v>24</v>
      </c>
      <c r="C14" s="5" t="s">
        <v>108</v>
      </c>
      <c r="D14" s="5" t="s">
        <v>109</v>
      </c>
      <c r="E14" s="5" t="s">
        <v>102</v>
      </c>
      <c r="F14" s="5" t="s">
        <v>110</v>
      </c>
      <c r="G14" s="5" t="s">
        <v>111</v>
      </c>
      <c r="H14" s="5" t="s">
        <v>112</v>
      </c>
      <c r="I14" s="5" t="s">
        <v>113</v>
      </c>
      <c r="J14" s="6"/>
      <c r="K14" s="6"/>
      <c r="L14" s="6"/>
      <c r="M14" s="6"/>
    </row>
    <row r="15" customFormat="false" ht="35.05" hidden="false" customHeight="false" outlineLevel="0" collapsed="false">
      <c r="A15" s="5" t="s">
        <v>114</v>
      </c>
      <c r="B15" s="5" t="s">
        <v>24</v>
      </c>
      <c r="C15" s="5" t="s">
        <v>115</v>
      </c>
      <c r="D15" s="5" t="s">
        <v>116</v>
      </c>
      <c r="E15" s="5" t="s">
        <v>34</v>
      </c>
      <c r="F15" s="5" t="s">
        <v>117</v>
      </c>
      <c r="G15" s="5" t="s">
        <v>118</v>
      </c>
      <c r="H15" s="5" t="s">
        <v>119</v>
      </c>
      <c r="I15" s="5" t="s">
        <v>120</v>
      </c>
      <c r="J15" s="6"/>
      <c r="K15" s="6"/>
      <c r="L15" s="6"/>
      <c r="M15" s="6"/>
    </row>
    <row r="16" customFormat="false" ht="23.85" hidden="false" customHeight="false" outlineLevel="0" collapsed="false">
      <c r="A16" s="5" t="s">
        <v>121</v>
      </c>
      <c r="B16" s="5" t="s">
        <v>24</v>
      </c>
      <c r="C16" s="5" t="s">
        <v>122</v>
      </c>
      <c r="D16" s="5" t="s">
        <v>123</v>
      </c>
      <c r="E16" s="5" t="s">
        <v>34</v>
      </c>
      <c r="F16" s="5" t="s">
        <v>124</v>
      </c>
      <c r="G16" s="5" t="s">
        <v>125</v>
      </c>
      <c r="H16" s="5" t="s">
        <v>126</v>
      </c>
      <c r="I16" s="5" t="s">
        <v>42</v>
      </c>
      <c r="J16" s="6"/>
      <c r="K16" s="6"/>
      <c r="L16" s="6"/>
      <c r="M16" s="6"/>
    </row>
    <row r="17" customFormat="false" ht="23.85" hidden="false" customHeight="false" outlineLevel="0" collapsed="false">
      <c r="A17" s="5" t="s">
        <v>127</v>
      </c>
      <c r="B17" s="5" t="s">
        <v>24</v>
      </c>
      <c r="C17" s="5" t="s">
        <v>122</v>
      </c>
      <c r="D17" s="5" t="s">
        <v>128</v>
      </c>
      <c r="E17" s="5" t="s">
        <v>34</v>
      </c>
      <c r="F17" s="5" t="s">
        <v>129</v>
      </c>
      <c r="G17" s="5" t="s">
        <v>130</v>
      </c>
      <c r="H17" s="5" t="s">
        <v>131</v>
      </c>
      <c r="I17" s="5" t="s">
        <v>132</v>
      </c>
      <c r="J17" s="6"/>
      <c r="K17" s="6"/>
      <c r="L17" s="6"/>
      <c r="M17" s="6"/>
    </row>
    <row r="18" customFormat="false" ht="35.05" hidden="false" customHeight="false" outlineLevel="0" collapsed="false">
      <c r="A18" s="5" t="s">
        <v>133</v>
      </c>
      <c r="B18" s="5" t="s">
        <v>134</v>
      </c>
      <c r="C18" s="5" t="s">
        <v>135</v>
      </c>
      <c r="D18" s="5" t="s">
        <v>136</v>
      </c>
      <c r="E18" s="5" t="s">
        <v>137</v>
      </c>
      <c r="F18" s="5" t="s">
        <v>138</v>
      </c>
      <c r="G18" s="5" t="s">
        <v>139</v>
      </c>
      <c r="H18" s="5" t="s">
        <v>140</v>
      </c>
      <c r="I18" s="5" t="s">
        <v>141</v>
      </c>
      <c r="J18" s="6"/>
      <c r="K18" s="6"/>
      <c r="L18" s="6"/>
      <c r="M18" s="6"/>
    </row>
    <row r="19" customFormat="false" ht="35.05" hidden="false" customHeight="false" outlineLevel="0" collapsed="false">
      <c r="A19" s="5" t="s">
        <v>142</v>
      </c>
      <c r="B19" s="5" t="s">
        <v>134</v>
      </c>
      <c r="C19" s="5" t="s">
        <v>143</v>
      </c>
      <c r="D19" s="5" t="s">
        <v>144</v>
      </c>
      <c r="E19" s="5" t="s">
        <v>145</v>
      </c>
      <c r="F19" s="5" t="s">
        <v>146</v>
      </c>
      <c r="G19" s="5" t="s">
        <v>147</v>
      </c>
      <c r="H19" s="5" t="s">
        <v>148</v>
      </c>
      <c r="I19" s="5" t="s">
        <v>149</v>
      </c>
      <c r="J19" s="6"/>
      <c r="K19" s="6"/>
      <c r="L19" s="6"/>
      <c r="M19" s="6"/>
    </row>
    <row r="20" customFormat="false" ht="35.05" hidden="false" customHeight="false" outlineLevel="0" collapsed="false">
      <c r="A20" s="5" t="s">
        <v>150</v>
      </c>
      <c r="B20" s="5" t="s">
        <v>134</v>
      </c>
      <c r="C20" s="5" t="s">
        <v>151</v>
      </c>
      <c r="D20" s="5" t="s">
        <v>152</v>
      </c>
      <c r="E20" s="5" t="s">
        <v>145</v>
      </c>
      <c r="F20" s="5" t="s">
        <v>153</v>
      </c>
      <c r="G20" s="5" t="s">
        <v>154</v>
      </c>
      <c r="H20" s="5" t="s">
        <v>155</v>
      </c>
      <c r="I20" s="5" t="s">
        <v>156</v>
      </c>
      <c r="J20" s="6"/>
      <c r="K20" s="6"/>
      <c r="L20" s="6"/>
      <c r="M20" s="6"/>
    </row>
    <row r="21" customFormat="false" ht="23.85" hidden="false" customHeight="false" outlineLevel="0" collapsed="false">
      <c r="A21" s="5" t="s">
        <v>157</v>
      </c>
      <c r="B21" s="5" t="s">
        <v>134</v>
      </c>
      <c r="C21" s="5" t="s">
        <v>158</v>
      </c>
      <c r="D21" s="5" t="s">
        <v>159</v>
      </c>
      <c r="E21" s="5" t="s">
        <v>102</v>
      </c>
      <c r="F21" s="5" t="s">
        <v>160</v>
      </c>
      <c r="G21" s="5" t="s">
        <v>161</v>
      </c>
      <c r="H21" s="5" t="s">
        <v>162</v>
      </c>
      <c r="I21" s="5" t="s">
        <v>163</v>
      </c>
      <c r="J21" s="6"/>
      <c r="K21" s="6"/>
      <c r="L21" s="6"/>
      <c r="M21" s="6"/>
    </row>
    <row r="22" customFormat="false" ht="35.05" hidden="false" customHeight="false" outlineLevel="0" collapsed="false">
      <c r="A22" s="5" t="s">
        <v>164</v>
      </c>
      <c r="B22" s="5" t="s">
        <v>134</v>
      </c>
      <c r="C22" s="5" t="s">
        <v>165</v>
      </c>
      <c r="D22" s="5" t="s">
        <v>166</v>
      </c>
      <c r="E22" s="5" t="s">
        <v>102</v>
      </c>
      <c r="F22" s="5" t="s">
        <v>167</v>
      </c>
      <c r="G22" s="5" t="s">
        <v>168</v>
      </c>
      <c r="H22" s="5" t="s">
        <v>169</v>
      </c>
      <c r="I22" s="5" t="s">
        <v>170</v>
      </c>
      <c r="J22" s="6"/>
      <c r="K22" s="6"/>
      <c r="L22" s="6"/>
      <c r="M22" s="6"/>
    </row>
    <row r="23" customFormat="false" ht="35.05" hidden="false" customHeight="false" outlineLevel="0" collapsed="false">
      <c r="A23" s="5" t="s">
        <v>171</v>
      </c>
      <c r="B23" s="5" t="s">
        <v>134</v>
      </c>
      <c r="C23" s="5" t="s">
        <v>172</v>
      </c>
      <c r="D23" s="5" t="s">
        <v>173</v>
      </c>
      <c r="E23" s="5" t="s">
        <v>27</v>
      </c>
      <c r="F23" s="5" t="s">
        <v>174</v>
      </c>
      <c r="G23" s="5" t="s">
        <v>175</v>
      </c>
      <c r="H23" s="5" t="s">
        <v>176</v>
      </c>
      <c r="I23" s="5" t="s">
        <v>177</v>
      </c>
      <c r="J23" s="6"/>
      <c r="K23" s="6"/>
      <c r="L23" s="6"/>
      <c r="M23" s="6"/>
    </row>
    <row r="24" customFormat="false" ht="35.05" hidden="false" customHeight="false" outlineLevel="0" collapsed="false">
      <c r="A24" s="5" t="s">
        <v>178</v>
      </c>
      <c r="B24" s="5" t="s">
        <v>179</v>
      </c>
      <c r="C24" s="5" t="s">
        <v>180</v>
      </c>
      <c r="D24" s="5" t="s">
        <v>181</v>
      </c>
      <c r="E24" s="5" t="s">
        <v>34</v>
      </c>
      <c r="F24" s="5" t="s">
        <v>182</v>
      </c>
      <c r="G24" s="5" t="s">
        <v>183</v>
      </c>
      <c r="H24" s="5" t="s">
        <v>184</v>
      </c>
      <c r="I24" s="5" t="s">
        <v>185</v>
      </c>
      <c r="J24" s="6"/>
      <c r="K24" s="6"/>
      <c r="L24" s="6"/>
      <c r="M24" s="6"/>
    </row>
    <row r="25" customFormat="false" ht="23.85" hidden="false" customHeight="false" outlineLevel="0" collapsed="false">
      <c r="A25" s="5" t="s">
        <v>186</v>
      </c>
      <c r="B25" s="5" t="s">
        <v>179</v>
      </c>
      <c r="C25" s="5" t="s">
        <v>187</v>
      </c>
      <c r="D25" s="5" t="s">
        <v>188</v>
      </c>
      <c r="E25" s="5" t="s">
        <v>34</v>
      </c>
      <c r="F25" s="5" t="s">
        <v>189</v>
      </c>
      <c r="G25" s="5" t="s">
        <v>190</v>
      </c>
      <c r="H25" s="5" t="s">
        <v>191</v>
      </c>
      <c r="I25" s="5" t="s">
        <v>192</v>
      </c>
      <c r="J25" s="6"/>
      <c r="K25" s="6"/>
      <c r="L25" s="6"/>
      <c r="M25" s="6"/>
    </row>
    <row r="26" customFormat="false" ht="15" hidden="false" customHeight="false" outlineLevel="0" collapsed="false">
      <c r="A26" s="5" t="s">
        <v>193</v>
      </c>
      <c r="B26" s="5" t="s">
        <v>179</v>
      </c>
      <c r="C26" s="5" t="s">
        <v>194</v>
      </c>
      <c r="D26" s="5" t="s">
        <v>195</v>
      </c>
      <c r="E26" s="5" t="s">
        <v>34</v>
      </c>
      <c r="F26" s="5" t="s">
        <v>189</v>
      </c>
      <c r="G26" s="5" t="s">
        <v>196</v>
      </c>
      <c r="H26" s="5" t="s">
        <v>197</v>
      </c>
      <c r="I26" s="5" t="s">
        <v>42</v>
      </c>
      <c r="J26" s="6"/>
      <c r="K26" s="6"/>
      <c r="L26" s="6"/>
      <c r="M26" s="6"/>
    </row>
    <row r="27" customFormat="false" ht="23.85" hidden="false" customHeight="false" outlineLevel="0" collapsed="false">
      <c r="A27" s="5" t="s">
        <v>198</v>
      </c>
      <c r="B27" s="5" t="s">
        <v>179</v>
      </c>
      <c r="C27" s="5" t="s">
        <v>199</v>
      </c>
      <c r="D27" s="5" t="s">
        <v>200</v>
      </c>
      <c r="E27" s="5" t="s">
        <v>34</v>
      </c>
      <c r="F27" s="5" t="s">
        <v>189</v>
      </c>
      <c r="G27" s="5" t="s">
        <v>201</v>
      </c>
      <c r="H27" s="5" t="s">
        <v>202</v>
      </c>
      <c r="I27" s="5" t="s">
        <v>42</v>
      </c>
      <c r="J27" s="6"/>
      <c r="K27" s="6"/>
      <c r="L27" s="6"/>
      <c r="M27" s="6"/>
    </row>
    <row r="28" customFormat="false" ht="23.85" hidden="false" customHeight="false" outlineLevel="0" collapsed="false">
      <c r="A28" s="5" t="s">
        <v>203</v>
      </c>
      <c r="B28" s="5" t="s">
        <v>179</v>
      </c>
      <c r="C28" s="5" t="s">
        <v>204</v>
      </c>
      <c r="D28" s="5" t="s">
        <v>205</v>
      </c>
      <c r="E28" s="5" t="s">
        <v>34</v>
      </c>
      <c r="F28" s="5" t="s">
        <v>206</v>
      </c>
      <c r="G28" s="5" t="s">
        <v>207</v>
      </c>
      <c r="H28" s="5" t="s">
        <v>208</v>
      </c>
      <c r="I28" s="5" t="s">
        <v>209</v>
      </c>
      <c r="J28" s="6"/>
      <c r="K28" s="6"/>
      <c r="L28" s="6"/>
      <c r="M28" s="6"/>
    </row>
    <row r="29" customFormat="false" ht="35.05" hidden="false" customHeight="false" outlineLevel="0" collapsed="false">
      <c r="A29" s="5" t="s">
        <v>210</v>
      </c>
      <c r="B29" s="5" t="s">
        <v>179</v>
      </c>
      <c r="C29" s="5" t="s">
        <v>211</v>
      </c>
      <c r="D29" s="5" t="s">
        <v>212</v>
      </c>
      <c r="E29" s="5" t="s">
        <v>27</v>
      </c>
      <c r="F29" s="5" t="s">
        <v>213</v>
      </c>
      <c r="G29" s="5" t="s">
        <v>214</v>
      </c>
      <c r="H29" s="5" t="s">
        <v>215</v>
      </c>
      <c r="I29" s="5" t="s">
        <v>216</v>
      </c>
      <c r="J29" s="6"/>
      <c r="K29" s="6"/>
      <c r="L29" s="6"/>
      <c r="M29" s="6"/>
    </row>
    <row r="30" customFormat="false" ht="35.05" hidden="false" customHeight="false" outlineLevel="0" collapsed="false">
      <c r="A30" s="5" t="s">
        <v>217</v>
      </c>
      <c r="B30" s="5" t="s">
        <v>179</v>
      </c>
      <c r="C30" s="5" t="s">
        <v>218</v>
      </c>
      <c r="D30" s="5" t="s">
        <v>219</v>
      </c>
      <c r="E30" s="5" t="s">
        <v>220</v>
      </c>
      <c r="F30" s="5" t="s">
        <v>42</v>
      </c>
      <c r="G30" s="5" t="s">
        <v>221</v>
      </c>
      <c r="H30" s="5" t="s">
        <v>222</v>
      </c>
      <c r="I30" s="5" t="s">
        <v>223</v>
      </c>
      <c r="J30" s="6"/>
      <c r="K30" s="6"/>
      <c r="L30" s="6"/>
      <c r="M30" s="6"/>
    </row>
    <row r="31" customFormat="false" ht="23.85" hidden="false" customHeight="false" outlineLevel="0" collapsed="false">
      <c r="A31" s="5" t="s">
        <v>224</v>
      </c>
      <c r="B31" s="5" t="s">
        <v>179</v>
      </c>
      <c r="C31" s="5" t="s">
        <v>218</v>
      </c>
      <c r="D31" s="5" t="s">
        <v>225</v>
      </c>
      <c r="E31" s="5" t="s">
        <v>226</v>
      </c>
      <c r="F31" s="5" t="s">
        <v>227</v>
      </c>
      <c r="G31" s="5" t="s">
        <v>228</v>
      </c>
      <c r="H31" s="5" t="s">
        <v>229</v>
      </c>
      <c r="I31" s="5" t="s">
        <v>42</v>
      </c>
      <c r="J31" s="6"/>
      <c r="K31" s="6"/>
      <c r="L31" s="6"/>
      <c r="M31" s="6"/>
    </row>
    <row r="32" customFormat="false" ht="23.85" hidden="false" customHeight="false" outlineLevel="0" collapsed="false">
      <c r="A32" s="5" t="s">
        <v>230</v>
      </c>
      <c r="B32" s="5" t="s">
        <v>179</v>
      </c>
      <c r="C32" s="5" t="s">
        <v>218</v>
      </c>
      <c r="D32" s="5" t="s">
        <v>231</v>
      </c>
      <c r="E32" s="5" t="s">
        <v>232</v>
      </c>
      <c r="F32" s="5" t="s">
        <v>233</v>
      </c>
      <c r="G32" s="5" t="s">
        <v>234</v>
      </c>
      <c r="H32" s="5" t="s">
        <v>235</v>
      </c>
      <c r="I32" s="5" t="s">
        <v>236</v>
      </c>
      <c r="J32" s="6"/>
      <c r="K32" s="6"/>
      <c r="L32" s="6"/>
      <c r="M32" s="6"/>
    </row>
    <row r="33" customFormat="false" ht="35.05" hidden="false" customHeight="false" outlineLevel="0" collapsed="false">
      <c r="A33" s="5" t="s">
        <v>237</v>
      </c>
      <c r="B33" s="5" t="s">
        <v>179</v>
      </c>
      <c r="C33" s="5" t="s">
        <v>238</v>
      </c>
      <c r="D33" s="5" t="s">
        <v>239</v>
      </c>
      <c r="E33" s="5" t="s">
        <v>240</v>
      </c>
      <c r="F33" s="5" t="s">
        <v>241</v>
      </c>
      <c r="G33" s="5" t="s">
        <v>242</v>
      </c>
      <c r="H33" s="5" t="s">
        <v>243</v>
      </c>
      <c r="I33" s="5" t="s">
        <v>244</v>
      </c>
      <c r="J33" s="6"/>
      <c r="K33" s="6"/>
      <c r="L33" s="6"/>
      <c r="M33" s="6"/>
    </row>
    <row r="34" customFormat="false" ht="15" hidden="false" customHeight="false" outlineLevel="0" collapsed="false">
      <c r="A34" s="5" t="s">
        <v>245</v>
      </c>
      <c r="B34" s="5" t="s">
        <v>179</v>
      </c>
      <c r="C34" s="5" t="s">
        <v>238</v>
      </c>
      <c r="D34" s="5" t="s">
        <v>246</v>
      </c>
      <c r="E34" s="5" t="s">
        <v>137</v>
      </c>
      <c r="F34" s="5" t="s">
        <v>42</v>
      </c>
      <c r="G34" s="5" t="s">
        <v>247</v>
      </c>
      <c r="H34" s="5" t="s">
        <v>248</v>
      </c>
      <c r="I34" s="5" t="s">
        <v>42</v>
      </c>
      <c r="J34" s="6"/>
      <c r="K34" s="6"/>
      <c r="L34" s="6"/>
      <c r="M34" s="6"/>
    </row>
    <row r="35" customFormat="false" ht="23.85" hidden="false" customHeight="false" outlineLevel="0" collapsed="false">
      <c r="A35" s="5" t="s">
        <v>249</v>
      </c>
      <c r="B35" s="5" t="s">
        <v>179</v>
      </c>
      <c r="C35" s="5" t="s">
        <v>238</v>
      </c>
      <c r="D35" s="5" t="s">
        <v>250</v>
      </c>
      <c r="E35" s="5" t="s">
        <v>251</v>
      </c>
      <c r="F35" s="5" t="s">
        <v>252</v>
      </c>
      <c r="G35" s="5" t="s">
        <v>253</v>
      </c>
      <c r="H35" s="5" t="s">
        <v>254</v>
      </c>
      <c r="I35" s="5" t="s">
        <v>42</v>
      </c>
      <c r="J35" s="6"/>
      <c r="K35" s="6"/>
      <c r="L35" s="6"/>
      <c r="M35" s="6"/>
    </row>
    <row r="36" customFormat="false" ht="23.85" hidden="false" customHeight="false" outlineLevel="0" collapsed="false">
      <c r="A36" s="5" t="s">
        <v>255</v>
      </c>
      <c r="B36" s="5" t="s">
        <v>179</v>
      </c>
      <c r="C36" s="5" t="s">
        <v>256</v>
      </c>
      <c r="D36" s="5" t="s">
        <v>257</v>
      </c>
      <c r="E36" s="5" t="s">
        <v>27</v>
      </c>
      <c r="F36" s="5" t="s">
        <v>258</v>
      </c>
      <c r="G36" s="5" t="s">
        <v>259</v>
      </c>
      <c r="H36" s="5" t="s">
        <v>260</v>
      </c>
      <c r="I36" s="5" t="s">
        <v>261</v>
      </c>
      <c r="J36" s="6"/>
      <c r="K36" s="6"/>
      <c r="L36" s="6"/>
      <c r="M36" s="6"/>
    </row>
    <row r="37" customFormat="false" ht="35.05" hidden="false" customHeight="false" outlineLevel="0" collapsed="false">
      <c r="A37" s="5" t="s">
        <v>262</v>
      </c>
      <c r="B37" s="5" t="s">
        <v>179</v>
      </c>
      <c r="C37" s="5" t="s">
        <v>256</v>
      </c>
      <c r="D37" s="5" t="s">
        <v>263</v>
      </c>
      <c r="E37" s="5" t="s">
        <v>264</v>
      </c>
      <c r="F37" s="5" t="s">
        <v>265</v>
      </c>
      <c r="G37" s="5" t="s">
        <v>266</v>
      </c>
      <c r="H37" s="5" t="s">
        <v>267</v>
      </c>
      <c r="I37" s="5" t="s">
        <v>268</v>
      </c>
      <c r="J37" s="6"/>
      <c r="K37" s="6"/>
      <c r="L37" s="6"/>
      <c r="M37" s="6"/>
    </row>
    <row r="38" customFormat="false" ht="35.05" hidden="false" customHeight="false" outlineLevel="0" collapsed="false">
      <c r="A38" s="5" t="s">
        <v>269</v>
      </c>
      <c r="B38" s="5" t="s">
        <v>179</v>
      </c>
      <c r="C38" s="5" t="s">
        <v>256</v>
      </c>
      <c r="D38" s="5" t="s">
        <v>270</v>
      </c>
      <c r="E38" s="5" t="s">
        <v>264</v>
      </c>
      <c r="F38" s="5" t="s">
        <v>265</v>
      </c>
      <c r="G38" s="5" t="s">
        <v>266</v>
      </c>
      <c r="H38" s="5" t="s">
        <v>267</v>
      </c>
      <c r="I38" s="5" t="s">
        <v>268</v>
      </c>
      <c r="J38" s="6"/>
      <c r="K38" s="6"/>
      <c r="L38" s="6"/>
      <c r="M38" s="6"/>
    </row>
    <row r="39" customFormat="false" ht="35.05" hidden="false" customHeight="false" outlineLevel="0" collapsed="false">
      <c r="A39" s="5" t="s">
        <v>271</v>
      </c>
      <c r="B39" s="5" t="s">
        <v>179</v>
      </c>
      <c r="C39" s="5" t="s">
        <v>256</v>
      </c>
      <c r="D39" s="5" t="s">
        <v>272</v>
      </c>
      <c r="E39" s="5" t="s">
        <v>264</v>
      </c>
      <c r="F39" s="5" t="s">
        <v>265</v>
      </c>
      <c r="G39" s="5" t="s">
        <v>266</v>
      </c>
      <c r="H39" s="5" t="s">
        <v>267</v>
      </c>
      <c r="I39" s="5" t="s">
        <v>268</v>
      </c>
      <c r="J39" s="6"/>
      <c r="K39" s="6"/>
      <c r="L39" s="6"/>
      <c r="M39" s="6"/>
    </row>
    <row r="40" customFormat="false" ht="35.05" hidden="false" customHeight="false" outlineLevel="0" collapsed="false">
      <c r="A40" s="5" t="s">
        <v>273</v>
      </c>
      <c r="B40" s="5" t="s">
        <v>179</v>
      </c>
      <c r="C40" s="5" t="s">
        <v>256</v>
      </c>
      <c r="D40" s="5" t="s">
        <v>274</v>
      </c>
      <c r="E40" s="5" t="s">
        <v>264</v>
      </c>
      <c r="F40" s="5" t="s">
        <v>265</v>
      </c>
      <c r="G40" s="5" t="s">
        <v>266</v>
      </c>
      <c r="H40" s="5" t="s">
        <v>267</v>
      </c>
      <c r="I40" s="5" t="s">
        <v>268</v>
      </c>
      <c r="J40" s="6"/>
      <c r="K40" s="6"/>
      <c r="L40" s="6"/>
      <c r="M40" s="6"/>
    </row>
    <row r="41" customFormat="false" ht="35.05" hidden="false" customHeight="false" outlineLevel="0" collapsed="false">
      <c r="A41" s="5" t="s">
        <v>275</v>
      </c>
      <c r="B41" s="5" t="s">
        <v>179</v>
      </c>
      <c r="C41" s="5" t="s">
        <v>256</v>
      </c>
      <c r="D41" s="5" t="s">
        <v>276</v>
      </c>
      <c r="E41" s="5" t="s">
        <v>264</v>
      </c>
      <c r="F41" s="5" t="s">
        <v>265</v>
      </c>
      <c r="G41" s="5" t="s">
        <v>266</v>
      </c>
      <c r="H41" s="5" t="s">
        <v>267</v>
      </c>
      <c r="I41" s="5" t="s">
        <v>268</v>
      </c>
      <c r="J41" s="6"/>
      <c r="K41" s="6"/>
      <c r="L41" s="6"/>
      <c r="M41" s="6"/>
    </row>
    <row r="42" customFormat="false" ht="35.05" hidden="false" customHeight="false" outlineLevel="0" collapsed="false">
      <c r="A42" s="5" t="s">
        <v>277</v>
      </c>
      <c r="B42" s="5" t="s">
        <v>179</v>
      </c>
      <c r="C42" s="5" t="s">
        <v>256</v>
      </c>
      <c r="D42" s="5" t="s">
        <v>278</v>
      </c>
      <c r="E42" s="5" t="s">
        <v>264</v>
      </c>
      <c r="F42" s="5" t="s">
        <v>265</v>
      </c>
      <c r="G42" s="5" t="s">
        <v>266</v>
      </c>
      <c r="H42" s="5" t="s">
        <v>267</v>
      </c>
      <c r="I42" s="5" t="s">
        <v>268</v>
      </c>
      <c r="J42" s="6"/>
      <c r="K42" s="6"/>
      <c r="L42" s="6"/>
      <c r="M42" s="6"/>
    </row>
    <row r="43" customFormat="false" ht="23.85" hidden="false" customHeight="false" outlineLevel="0" collapsed="false">
      <c r="A43" s="5" t="s">
        <v>279</v>
      </c>
      <c r="B43" s="5" t="s">
        <v>179</v>
      </c>
      <c r="C43" s="5" t="s">
        <v>256</v>
      </c>
      <c r="D43" s="5" t="s">
        <v>280</v>
      </c>
      <c r="E43" s="5" t="s">
        <v>34</v>
      </c>
      <c r="F43" s="5" t="s">
        <v>42</v>
      </c>
      <c r="G43" s="5" t="s">
        <v>281</v>
      </c>
      <c r="H43" s="5" t="s">
        <v>282</v>
      </c>
      <c r="I43" s="5" t="s">
        <v>42</v>
      </c>
      <c r="J43" s="6"/>
      <c r="K43" s="6"/>
      <c r="L43" s="6"/>
      <c r="M43" s="6"/>
    </row>
    <row r="44" customFormat="false" ht="23.85" hidden="false" customHeight="false" outlineLevel="0" collapsed="false">
      <c r="A44" s="5" t="s">
        <v>283</v>
      </c>
      <c r="B44" s="5" t="s">
        <v>179</v>
      </c>
      <c r="C44" s="5" t="s">
        <v>256</v>
      </c>
      <c r="D44" s="5" t="s">
        <v>284</v>
      </c>
      <c r="E44" s="5" t="s">
        <v>34</v>
      </c>
      <c r="F44" s="5" t="s">
        <v>42</v>
      </c>
      <c r="G44" s="5" t="s">
        <v>285</v>
      </c>
      <c r="H44" s="5" t="s">
        <v>286</v>
      </c>
      <c r="I44" s="5" t="s">
        <v>42</v>
      </c>
      <c r="J44" s="6"/>
      <c r="K44" s="6"/>
      <c r="L44" s="6"/>
      <c r="M44" s="6"/>
    </row>
    <row r="45" customFormat="false" ht="23.85" hidden="false" customHeight="false" outlineLevel="0" collapsed="false">
      <c r="A45" s="5" t="s">
        <v>287</v>
      </c>
      <c r="B45" s="5" t="s">
        <v>179</v>
      </c>
      <c r="C45" s="5" t="s">
        <v>256</v>
      </c>
      <c r="D45" s="5" t="s">
        <v>288</v>
      </c>
      <c r="E45" s="5" t="s">
        <v>264</v>
      </c>
      <c r="F45" s="5" t="s">
        <v>42</v>
      </c>
      <c r="G45" s="5" t="s">
        <v>289</v>
      </c>
      <c r="H45" s="5" t="s">
        <v>290</v>
      </c>
      <c r="I45" s="5" t="s">
        <v>42</v>
      </c>
      <c r="J45" s="6"/>
      <c r="K45" s="6"/>
      <c r="L45" s="6"/>
      <c r="M45" s="6"/>
    </row>
    <row r="46" customFormat="false" ht="23.85" hidden="false" customHeight="false" outlineLevel="0" collapsed="false">
      <c r="A46" s="5" t="s">
        <v>291</v>
      </c>
      <c r="B46" s="5" t="s">
        <v>179</v>
      </c>
      <c r="C46" s="5" t="s">
        <v>256</v>
      </c>
      <c r="D46" s="5" t="s">
        <v>292</v>
      </c>
      <c r="E46" s="5" t="s">
        <v>293</v>
      </c>
      <c r="F46" s="5" t="s">
        <v>42</v>
      </c>
      <c r="G46" s="5" t="s">
        <v>294</v>
      </c>
      <c r="H46" s="5" t="s">
        <v>295</v>
      </c>
      <c r="I46" s="5" t="s">
        <v>42</v>
      </c>
      <c r="J46" s="6"/>
      <c r="K46" s="6"/>
      <c r="L46" s="6"/>
      <c r="M46" s="6"/>
    </row>
    <row r="47" customFormat="false" ht="23.85" hidden="false" customHeight="false" outlineLevel="0" collapsed="false">
      <c r="A47" s="5" t="s">
        <v>296</v>
      </c>
      <c r="B47" s="5" t="s">
        <v>179</v>
      </c>
      <c r="C47" s="5" t="s">
        <v>297</v>
      </c>
      <c r="D47" s="5" t="s">
        <v>298</v>
      </c>
      <c r="E47" s="5" t="s">
        <v>137</v>
      </c>
      <c r="F47" s="5" t="s">
        <v>42</v>
      </c>
      <c r="G47" s="5" t="s">
        <v>299</v>
      </c>
      <c r="H47" s="5" t="s">
        <v>300</v>
      </c>
      <c r="I47" s="5" t="s">
        <v>42</v>
      </c>
      <c r="J47" s="6"/>
      <c r="K47" s="6"/>
      <c r="L47" s="6"/>
      <c r="M47" s="6"/>
    </row>
    <row r="48" customFormat="false" ht="15" hidden="false" customHeight="false" outlineLevel="0" collapsed="false">
      <c r="A48" s="5" t="s">
        <v>301</v>
      </c>
      <c r="B48" s="5" t="s">
        <v>179</v>
      </c>
      <c r="C48" s="5" t="s">
        <v>297</v>
      </c>
      <c r="D48" s="5" t="s">
        <v>302</v>
      </c>
      <c r="E48" s="5" t="s">
        <v>137</v>
      </c>
      <c r="F48" s="5" t="s">
        <v>303</v>
      </c>
      <c r="G48" s="5" t="s">
        <v>304</v>
      </c>
      <c r="H48" s="5" t="s">
        <v>305</v>
      </c>
      <c r="I48" s="5" t="s">
        <v>42</v>
      </c>
      <c r="J48" s="6"/>
      <c r="K48" s="6"/>
      <c r="L48" s="6"/>
      <c r="M48" s="6"/>
    </row>
    <row r="49" customFormat="false" ht="35.05" hidden="false" customHeight="false" outlineLevel="0" collapsed="false">
      <c r="A49" s="5" t="s">
        <v>306</v>
      </c>
      <c r="B49" s="5" t="s">
        <v>179</v>
      </c>
      <c r="C49" s="5" t="s">
        <v>307</v>
      </c>
      <c r="D49" s="5" t="s">
        <v>308</v>
      </c>
      <c r="E49" s="5" t="s">
        <v>34</v>
      </c>
      <c r="F49" s="5" t="s">
        <v>42</v>
      </c>
      <c r="G49" s="5" t="s">
        <v>309</v>
      </c>
      <c r="H49" s="5" t="s">
        <v>310</v>
      </c>
      <c r="I49" s="5" t="s">
        <v>42</v>
      </c>
      <c r="J49" s="6"/>
      <c r="K49" s="6"/>
      <c r="L49" s="6"/>
      <c r="M49" s="6"/>
    </row>
    <row r="50" customFormat="false" ht="23.85" hidden="false" customHeight="false" outlineLevel="0" collapsed="false">
      <c r="A50" s="5" t="s">
        <v>311</v>
      </c>
      <c r="B50" s="5" t="s">
        <v>179</v>
      </c>
      <c r="C50" s="5" t="s">
        <v>307</v>
      </c>
      <c r="D50" s="5" t="s">
        <v>312</v>
      </c>
      <c r="E50" s="5" t="s">
        <v>313</v>
      </c>
      <c r="F50" s="5" t="s">
        <v>42</v>
      </c>
      <c r="G50" s="5" t="s">
        <v>314</v>
      </c>
      <c r="H50" s="5" t="s">
        <v>315</v>
      </c>
      <c r="I50" s="5" t="s">
        <v>42</v>
      </c>
      <c r="J50" s="6"/>
      <c r="K50" s="6"/>
      <c r="L50" s="6"/>
      <c r="M50" s="6"/>
    </row>
    <row r="51" customFormat="false" ht="23.85" hidden="false" customHeight="false" outlineLevel="0" collapsed="false">
      <c r="A51" s="5" t="s">
        <v>316</v>
      </c>
      <c r="B51" s="5" t="s">
        <v>179</v>
      </c>
      <c r="C51" s="5" t="s">
        <v>317</v>
      </c>
      <c r="D51" s="5" t="s">
        <v>318</v>
      </c>
      <c r="E51" s="5" t="s">
        <v>319</v>
      </c>
      <c r="F51" s="5" t="s">
        <v>320</v>
      </c>
      <c r="G51" s="5" t="s">
        <v>321</v>
      </c>
      <c r="H51" s="5" t="s">
        <v>322</v>
      </c>
      <c r="I51" s="5" t="s">
        <v>323</v>
      </c>
      <c r="J51" s="6"/>
      <c r="K51" s="6"/>
      <c r="L51" s="6"/>
      <c r="M51" s="6"/>
    </row>
    <row r="52" customFormat="false" ht="23.85" hidden="false" customHeight="false" outlineLevel="0" collapsed="false">
      <c r="A52" s="5" t="s">
        <v>324</v>
      </c>
      <c r="B52" s="5" t="s">
        <v>325</v>
      </c>
      <c r="C52" s="5" t="s">
        <v>326</v>
      </c>
      <c r="D52" s="5" t="s">
        <v>327</v>
      </c>
      <c r="E52" s="5" t="s">
        <v>27</v>
      </c>
      <c r="F52" s="5" t="s">
        <v>42</v>
      </c>
      <c r="G52" s="5" t="s">
        <v>328</v>
      </c>
      <c r="H52" s="5" t="s">
        <v>329</v>
      </c>
      <c r="I52" s="5" t="s">
        <v>330</v>
      </c>
      <c r="J52" s="6"/>
      <c r="K52" s="6"/>
      <c r="L52" s="6"/>
      <c r="M52" s="6"/>
    </row>
    <row r="53" customFormat="false" ht="23.85" hidden="false" customHeight="false" outlineLevel="0" collapsed="false">
      <c r="A53" s="5" t="s">
        <v>331</v>
      </c>
      <c r="B53" s="5" t="s">
        <v>325</v>
      </c>
      <c r="C53" s="5" t="s">
        <v>332</v>
      </c>
      <c r="D53" s="5" t="s">
        <v>333</v>
      </c>
      <c r="E53" s="5" t="s">
        <v>334</v>
      </c>
      <c r="F53" s="5" t="s">
        <v>42</v>
      </c>
      <c r="G53" s="5" t="s">
        <v>335</v>
      </c>
      <c r="H53" s="5" t="s">
        <v>336</v>
      </c>
      <c r="I53" s="5" t="s">
        <v>42</v>
      </c>
      <c r="J53" s="6"/>
      <c r="K53" s="6"/>
      <c r="L53" s="6"/>
      <c r="M53" s="6"/>
    </row>
    <row r="54" customFormat="false" ht="35.05" hidden="false" customHeight="false" outlineLevel="0" collapsed="false">
      <c r="A54" s="5" t="s">
        <v>337</v>
      </c>
      <c r="B54" s="5" t="s">
        <v>325</v>
      </c>
      <c r="C54" s="5" t="s">
        <v>338</v>
      </c>
      <c r="D54" s="5" t="s">
        <v>339</v>
      </c>
      <c r="E54" s="5" t="s">
        <v>334</v>
      </c>
      <c r="F54" s="5" t="s">
        <v>340</v>
      </c>
      <c r="G54" s="5" t="s">
        <v>341</v>
      </c>
      <c r="H54" s="5" t="s">
        <v>342</v>
      </c>
      <c r="I54" s="5" t="s">
        <v>343</v>
      </c>
      <c r="J54" s="6"/>
      <c r="K54" s="6"/>
      <c r="L54" s="6"/>
      <c r="M54" s="6"/>
    </row>
    <row r="55" customFormat="false" ht="35.05" hidden="false" customHeight="false" outlineLevel="0" collapsed="false">
      <c r="A55" s="5" t="s">
        <v>344</v>
      </c>
      <c r="B55" s="5" t="s">
        <v>325</v>
      </c>
      <c r="C55" s="5" t="s">
        <v>338</v>
      </c>
      <c r="D55" s="5" t="s">
        <v>345</v>
      </c>
      <c r="E55" s="5" t="s">
        <v>334</v>
      </c>
      <c r="F55" s="5" t="s">
        <v>346</v>
      </c>
      <c r="G55" s="5" t="s">
        <v>347</v>
      </c>
      <c r="H55" s="5" t="s">
        <v>348</v>
      </c>
      <c r="I55" s="5" t="s">
        <v>349</v>
      </c>
      <c r="J55" s="6"/>
      <c r="K55" s="6"/>
      <c r="L55" s="6"/>
      <c r="M55" s="6"/>
    </row>
    <row r="56" customFormat="false" ht="35.05" hidden="false" customHeight="false" outlineLevel="0" collapsed="false">
      <c r="A56" s="5" t="s">
        <v>350</v>
      </c>
      <c r="B56" s="5" t="s">
        <v>325</v>
      </c>
      <c r="C56" s="5" t="s">
        <v>338</v>
      </c>
      <c r="D56" s="5" t="s">
        <v>351</v>
      </c>
      <c r="E56" s="5" t="s">
        <v>334</v>
      </c>
      <c r="F56" s="5" t="s">
        <v>352</v>
      </c>
      <c r="G56" s="5" t="s">
        <v>353</v>
      </c>
      <c r="H56" s="5" t="s">
        <v>354</v>
      </c>
      <c r="I56" s="5" t="s">
        <v>355</v>
      </c>
      <c r="J56" s="6"/>
      <c r="K56" s="6"/>
      <c r="L56" s="6"/>
      <c r="M56" s="6"/>
    </row>
    <row r="57" customFormat="false" ht="23.85" hidden="false" customHeight="false" outlineLevel="0" collapsed="false">
      <c r="A57" s="5" t="s">
        <v>356</v>
      </c>
      <c r="B57" s="5" t="s">
        <v>325</v>
      </c>
      <c r="C57" s="5" t="s">
        <v>338</v>
      </c>
      <c r="D57" s="5" t="s">
        <v>357</v>
      </c>
      <c r="E57" s="5" t="s">
        <v>334</v>
      </c>
      <c r="F57" s="5" t="s">
        <v>358</v>
      </c>
      <c r="G57" s="5" t="s">
        <v>359</v>
      </c>
      <c r="H57" s="5" t="s">
        <v>360</v>
      </c>
      <c r="I57" s="5" t="s">
        <v>42</v>
      </c>
      <c r="J57" s="6"/>
      <c r="K57" s="6"/>
      <c r="L57" s="6"/>
      <c r="M57" s="6"/>
    </row>
    <row r="58" customFormat="false" ht="23.85" hidden="false" customHeight="false" outlineLevel="0" collapsed="false">
      <c r="A58" s="5" t="s">
        <v>361</v>
      </c>
      <c r="B58" s="5" t="s">
        <v>325</v>
      </c>
      <c r="C58" s="5" t="s">
        <v>338</v>
      </c>
      <c r="D58" s="5" t="s">
        <v>362</v>
      </c>
      <c r="E58" s="5" t="s">
        <v>334</v>
      </c>
      <c r="F58" s="5" t="s">
        <v>363</v>
      </c>
      <c r="G58" s="5" t="s">
        <v>341</v>
      </c>
      <c r="H58" s="5" t="s">
        <v>364</v>
      </c>
      <c r="I58" s="5" t="s">
        <v>42</v>
      </c>
      <c r="J58" s="6"/>
      <c r="K58" s="6"/>
      <c r="L58" s="6"/>
      <c r="M58" s="6"/>
    </row>
    <row r="59" customFormat="false" ht="23.85" hidden="false" customHeight="false" outlineLevel="0" collapsed="false">
      <c r="A59" s="5" t="s">
        <v>365</v>
      </c>
      <c r="B59" s="5" t="s">
        <v>325</v>
      </c>
      <c r="C59" s="5" t="s">
        <v>338</v>
      </c>
      <c r="D59" s="5" t="s">
        <v>366</v>
      </c>
      <c r="E59" s="5" t="s">
        <v>334</v>
      </c>
      <c r="F59" s="5" t="s">
        <v>42</v>
      </c>
      <c r="G59" s="5" t="s">
        <v>367</v>
      </c>
      <c r="H59" s="5" t="s">
        <v>368</v>
      </c>
      <c r="I59" s="5" t="s">
        <v>42</v>
      </c>
      <c r="J59" s="6"/>
      <c r="K59" s="6"/>
      <c r="L59" s="6"/>
      <c r="M59" s="6"/>
    </row>
    <row r="60" customFormat="false" ht="23.85" hidden="false" customHeight="false" outlineLevel="0" collapsed="false">
      <c r="A60" s="5" t="s">
        <v>369</v>
      </c>
      <c r="B60" s="5" t="s">
        <v>325</v>
      </c>
      <c r="C60" s="5" t="s">
        <v>338</v>
      </c>
      <c r="D60" s="5" t="s">
        <v>370</v>
      </c>
      <c r="E60" s="5" t="s">
        <v>334</v>
      </c>
      <c r="F60" s="5" t="s">
        <v>371</v>
      </c>
      <c r="G60" s="5" t="s">
        <v>372</v>
      </c>
      <c r="H60" s="5" t="s">
        <v>373</v>
      </c>
      <c r="I60" s="5" t="s">
        <v>42</v>
      </c>
      <c r="J60" s="6"/>
      <c r="K60" s="6"/>
      <c r="L60" s="6"/>
      <c r="M60" s="6"/>
    </row>
    <row r="61" customFormat="false" ht="23.85" hidden="false" customHeight="false" outlineLevel="0" collapsed="false">
      <c r="A61" s="5" t="s">
        <v>374</v>
      </c>
      <c r="B61" s="5" t="s">
        <v>325</v>
      </c>
      <c r="C61" s="5" t="s">
        <v>338</v>
      </c>
      <c r="D61" s="5" t="s">
        <v>375</v>
      </c>
      <c r="E61" s="5" t="s">
        <v>334</v>
      </c>
      <c r="F61" s="5" t="s">
        <v>376</v>
      </c>
      <c r="G61" s="5" t="s">
        <v>377</v>
      </c>
      <c r="H61" s="5" t="s">
        <v>378</v>
      </c>
      <c r="I61" s="5" t="s">
        <v>379</v>
      </c>
      <c r="J61" s="6"/>
      <c r="K61" s="6"/>
      <c r="L61" s="6"/>
      <c r="M61" s="6"/>
    </row>
    <row r="62" customFormat="false" ht="57.45" hidden="false" customHeight="false" outlineLevel="0" collapsed="false">
      <c r="A62" s="5" t="s">
        <v>380</v>
      </c>
      <c r="B62" s="5" t="s">
        <v>325</v>
      </c>
      <c r="C62" s="5" t="s">
        <v>381</v>
      </c>
      <c r="D62" s="5" t="s">
        <v>382</v>
      </c>
      <c r="E62" s="5" t="s">
        <v>383</v>
      </c>
      <c r="F62" s="5" t="s">
        <v>42</v>
      </c>
      <c r="G62" s="5" t="s">
        <v>384</v>
      </c>
      <c r="H62" s="5" t="s">
        <v>385</v>
      </c>
      <c r="I62" s="5" t="s">
        <v>386</v>
      </c>
      <c r="J62" s="6"/>
      <c r="K62" s="6"/>
      <c r="L62" s="6"/>
      <c r="M62" s="6"/>
    </row>
    <row r="63" customFormat="false" ht="15" hidden="false" customHeight="false" outlineLevel="0" collapsed="false">
      <c r="A63" s="5" t="s">
        <v>387</v>
      </c>
      <c r="B63" s="5" t="s">
        <v>325</v>
      </c>
      <c r="C63" s="5" t="s">
        <v>388</v>
      </c>
      <c r="D63" s="5" t="s">
        <v>389</v>
      </c>
      <c r="E63" s="5" t="s">
        <v>390</v>
      </c>
      <c r="F63" s="5" t="s">
        <v>42</v>
      </c>
      <c r="G63" s="5" t="s">
        <v>391</v>
      </c>
      <c r="H63" s="5" t="s">
        <v>392</v>
      </c>
      <c r="I63" s="5" t="s">
        <v>42</v>
      </c>
      <c r="J63" s="6"/>
      <c r="K63" s="6"/>
      <c r="L63" s="6"/>
      <c r="M63" s="6"/>
    </row>
  </sheetData>
  <autoFilter ref="A1:M63"/>
  <conditionalFormatting sqref="J2:J63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5">
      <formula>"Corrección"</formula>
    </cfRule>
  </conditionalFormatting>
  <dataValidations count="1">
    <dataValidation allowBlank="true" errorStyle="stop" operator="between" showDropDown="false" showErrorMessage="false" showInputMessage="false" sqref="J2:J63" type="list">
      <formula1>"OK,Corrección,Pendiente,No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40"/>
    <col collapsed="false" customWidth="true" hidden="false" outlineLevel="0" max="4" min="4" style="0" width="50"/>
    <col collapsed="false" customWidth="true" hidden="false" outlineLevel="0" max="5" min="5" style="0" width="13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4" t="s">
        <v>10</v>
      </c>
      <c r="B1" s="4" t="s">
        <v>393</v>
      </c>
      <c r="C1" s="4" t="s">
        <v>16</v>
      </c>
      <c r="D1" s="4" t="s">
        <v>17</v>
      </c>
      <c r="E1" s="4" t="s">
        <v>19</v>
      </c>
      <c r="F1" s="4" t="s">
        <v>20</v>
      </c>
      <c r="G1" s="4" t="s">
        <v>21</v>
      </c>
      <c r="H1" s="4" t="s">
        <v>22</v>
      </c>
    </row>
    <row r="2" customFormat="false" ht="15" hidden="false" customHeight="false" outlineLevel="0" collapsed="false">
      <c r="A2" s="5" t="s">
        <v>394</v>
      </c>
      <c r="B2" s="5" t="s">
        <v>395</v>
      </c>
      <c r="C2" s="5" t="s">
        <v>396</v>
      </c>
      <c r="D2" s="5" t="s">
        <v>397</v>
      </c>
      <c r="E2" s="6"/>
      <c r="F2" s="6"/>
      <c r="G2" s="6"/>
      <c r="H2" s="6"/>
    </row>
    <row r="3" customFormat="false" ht="15" hidden="false" customHeight="false" outlineLevel="0" collapsed="false">
      <c r="A3" s="5" t="s">
        <v>398</v>
      </c>
      <c r="B3" s="5" t="s">
        <v>399</v>
      </c>
      <c r="C3" s="5" t="s">
        <v>400</v>
      </c>
      <c r="D3" s="5" t="s">
        <v>401</v>
      </c>
      <c r="E3" s="6"/>
      <c r="F3" s="6"/>
      <c r="G3" s="6"/>
      <c r="H3" s="6"/>
    </row>
    <row r="4" customFormat="false" ht="23.85" hidden="false" customHeight="false" outlineLevel="0" collapsed="false">
      <c r="A4" s="5" t="s">
        <v>402</v>
      </c>
      <c r="B4" s="5" t="s">
        <v>403</v>
      </c>
      <c r="C4" s="5" t="s">
        <v>404</v>
      </c>
      <c r="D4" s="5" t="s">
        <v>405</v>
      </c>
      <c r="E4" s="6"/>
      <c r="F4" s="6"/>
      <c r="G4" s="6"/>
      <c r="H4" s="6"/>
    </row>
    <row r="5" customFormat="false" ht="15" hidden="false" customHeight="false" outlineLevel="0" collapsed="false">
      <c r="A5" s="5" t="s">
        <v>406</v>
      </c>
      <c r="B5" s="5" t="s">
        <v>407</v>
      </c>
      <c r="C5" s="5" t="s">
        <v>408</v>
      </c>
      <c r="D5" s="5" t="s">
        <v>409</v>
      </c>
      <c r="E5" s="6"/>
      <c r="F5" s="6"/>
      <c r="G5" s="6"/>
      <c r="H5" s="6"/>
    </row>
    <row r="6" customFormat="false" ht="15" hidden="false" customHeight="false" outlineLevel="0" collapsed="false">
      <c r="A6" s="5" t="s">
        <v>410</v>
      </c>
      <c r="B6" s="5" t="s">
        <v>411</v>
      </c>
      <c r="C6" s="5" t="s">
        <v>408</v>
      </c>
      <c r="D6" s="5" t="s">
        <v>412</v>
      </c>
      <c r="E6" s="6"/>
      <c r="F6" s="6"/>
      <c r="G6" s="6"/>
      <c r="H6" s="6"/>
    </row>
    <row r="7" customFormat="false" ht="23.85" hidden="false" customHeight="false" outlineLevel="0" collapsed="false">
      <c r="A7" s="5" t="s">
        <v>413</v>
      </c>
      <c r="B7" s="5" t="s">
        <v>414</v>
      </c>
      <c r="C7" s="5" t="s">
        <v>408</v>
      </c>
      <c r="D7" s="5" t="s">
        <v>415</v>
      </c>
      <c r="E7" s="6"/>
      <c r="F7" s="6"/>
      <c r="G7" s="6"/>
      <c r="H7" s="6"/>
    </row>
    <row r="8" customFormat="false" ht="15" hidden="false" customHeight="false" outlineLevel="0" collapsed="false">
      <c r="A8" s="5" t="s">
        <v>416</v>
      </c>
      <c r="B8" s="5" t="s">
        <v>417</v>
      </c>
      <c r="C8" s="5" t="s">
        <v>418</v>
      </c>
      <c r="D8" s="5" t="s">
        <v>419</v>
      </c>
      <c r="E8" s="6"/>
      <c r="F8" s="6"/>
      <c r="G8" s="6"/>
      <c r="H8" s="6"/>
    </row>
  </sheetData>
  <dataValidations count="1">
    <dataValidation allowBlank="true" errorStyle="stop" operator="between" showDropDown="false" showErrorMessage="false" showInputMessage="false" sqref="E2:E8" type="list">
      <formula1>"OK,Corrección,Pendiente,No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4" t="s">
        <v>420</v>
      </c>
      <c r="B1" s="4" t="s">
        <v>421</v>
      </c>
      <c r="C1" s="4" t="s">
        <v>422</v>
      </c>
    </row>
    <row r="2" customFormat="false" ht="15" hidden="false" customHeight="false" outlineLevel="0" collapsed="false">
      <c r="A2" s="5" t="s">
        <v>423</v>
      </c>
      <c r="B2" s="5" t="s">
        <v>424</v>
      </c>
      <c r="C2" s="5" t="s">
        <v>425</v>
      </c>
    </row>
    <row r="3" customFormat="false" ht="23.85" hidden="false" customHeight="false" outlineLevel="0" collapsed="false">
      <c r="A3" s="5" t="s">
        <v>426</v>
      </c>
      <c r="B3" s="5" t="s">
        <v>427</v>
      </c>
      <c r="C3" s="5" t="s">
        <v>428</v>
      </c>
    </row>
    <row r="4" customFormat="false" ht="15" hidden="false" customHeight="false" outlineLevel="0" collapsed="false">
      <c r="A4" s="5" t="s">
        <v>429</v>
      </c>
      <c r="B4" s="5" t="s">
        <v>430</v>
      </c>
      <c r="C4" s="5" t="s">
        <v>431</v>
      </c>
    </row>
    <row r="5" customFormat="false" ht="23.85" hidden="false" customHeight="false" outlineLevel="0" collapsed="false">
      <c r="A5" s="5" t="s">
        <v>432</v>
      </c>
      <c r="B5" s="5" t="s">
        <v>433</v>
      </c>
      <c r="C5" s="5" t="s">
        <v>434</v>
      </c>
    </row>
    <row r="6" customFormat="false" ht="15" hidden="false" customHeight="false" outlineLevel="0" collapsed="false">
      <c r="A6" s="5" t="s">
        <v>435</v>
      </c>
      <c r="B6" s="5" t="s">
        <v>436</v>
      </c>
      <c r="C6" s="5" t="s">
        <v>437</v>
      </c>
    </row>
    <row r="7" customFormat="false" ht="15" hidden="false" customHeight="false" outlineLevel="0" collapsed="false">
      <c r="A7" s="5" t="s">
        <v>438</v>
      </c>
      <c r="B7" s="5" t="s">
        <v>439</v>
      </c>
      <c r="C7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4" t="s">
        <v>11</v>
      </c>
      <c r="B1" s="4" t="s">
        <v>440</v>
      </c>
      <c r="C1" s="4" t="s">
        <v>441</v>
      </c>
      <c r="D1" s="4" t="s">
        <v>442</v>
      </c>
      <c r="E1" s="4" t="s">
        <v>443</v>
      </c>
      <c r="F1" s="4" t="s">
        <v>444</v>
      </c>
      <c r="G1" s="4" t="s">
        <v>445</v>
      </c>
      <c r="H1" s="4" t="s">
        <v>446</v>
      </c>
    </row>
    <row r="2" customFormat="false" ht="15" hidden="false" customHeight="false" outlineLevel="0" collapsed="false">
      <c r="A2" s="7" t="s">
        <v>24</v>
      </c>
      <c r="B2" s="7" t="n">
        <f aca="false">COUNTIF('Casos de prueba'!$B$2:$B$63,A2)</f>
        <v>16</v>
      </c>
      <c r="C2" s="7" t="n">
        <f aca="false">COUNTIFS('Casos de prueba'!$B$2:$B$63,$A2,'Casos de prueba'!$J$2:$J$63,"OK")</f>
        <v>0</v>
      </c>
      <c r="D2" s="7" t="n">
        <f aca="false">COUNTIFS('Casos de prueba'!$B$2:$B$63,$A2,'Casos de prueba'!$J$2:$J$63,"Corrección")</f>
        <v>0</v>
      </c>
      <c r="E2" s="7" t="n">
        <f aca="false">COUNTIFS('Casos de prueba'!$B$2:$B$63,$A2,'Casos de prueba'!$J$2:$J$63,"Pendiente")</f>
        <v>0</v>
      </c>
      <c r="F2" s="7" t="n">
        <f aca="false">COUNTIFS('Casos de prueba'!$B$2:$B$63,$A2,'Casos de prueba'!$J$2:$J$63,"No aplica")</f>
        <v>0</v>
      </c>
      <c r="G2" s="7" t="n">
        <f aca="false">B2-SUM(C2:F2)</f>
        <v>16</v>
      </c>
      <c r="H2" s="8" t="n">
        <f aca="false">IF(B2=0,0,C2/B2)</f>
        <v>0</v>
      </c>
    </row>
    <row r="3" customFormat="false" ht="15" hidden="false" customHeight="false" outlineLevel="0" collapsed="false">
      <c r="A3" s="7" t="s">
        <v>134</v>
      </c>
      <c r="B3" s="7" t="n">
        <f aca="false">COUNTIF('Casos de prueba'!$B$2:$B$63,A3)</f>
        <v>6</v>
      </c>
      <c r="C3" s="7" t="n">
        <f aca="false">COUNTIFS('Casos de prueba'!$B$2:$B$63,$A3,'Casos de prueba'!$J$2:$J$63,"OK")</f>
        <v>0</v>
      </c>
      <c r="D3" s="7" t="n">
        <f aca="false">COUNTIFS('Casos de prueba'!$B$2:$B$63,$A3,'Casos de prueba'!$J$2:$J$63,"Corrección")</f>
        <v>0</v>
      </c>
      <c r="E3" s="7" t="n">
        <f aca="false">COUNTIFS('Casos de prueba'!$B$2:$B$63,$A3,'Casos de prueba'!$J$2:$J$63,"Pendiente")</f>
        <v>0</v>
      </c>
      <c r="F3" s="7" t="n">
        <f aca="false">COUNTIFS('Casos de prueba'!$B$2:$B$63,$A3,'Casos de prueba'!$J$2:$J$63,"No aplica")</f>
        <v>0</v>
      </c>
      <c r="G3" s="7" t="n">
        <f aca="false">B3-SUM(C3:F3)</f>
        <v>6</v>
      </c>
      <c r="H3" s="8" t="n">
        <f aca="false">IF(B3=0,0,C3/B3)</f>
        <v>0</v>
      </c>
    </row>
    <row r="4" customFormat="false" ht="15" hidden="false" customHeight="false" outlineLevel="0" collapsed="false">
      <c r="A4" s="7" t="s">
        <v>179</v>
      </c>
      <c r="B4" s="7" t="n">
        <f aca="false">COUNTIF('Casos de prueba'!$B$2:$B$63,A4)</f>
        <v>28</v>
      </c>
      <c r="C4" s="7" t="n">
        <f aca="false">COUNTIFS('Casos de prueba'!$B$2:$B$63,$A4,'Casos de prueba'!$J$2:$J$63,"OK")</f>
        <v>0</v>
      </c>
      <c r="D4" s="7" t="n">
        <f aca="false">COUNTIFS('Casos de prueba'!$B$2:$B$63,$A4,'Casos de prueba'!$J$2:$J$63,"Corrección")</f>
        <v>0</v>
      </c>
      <c r="E4" s="7" t="n">
        <f aca="false">COUNTIFS('Casos de prueba'!$B$2:$B$63,$A4,'Casos de prueba'!$J$2:$J$63,"Pendiente")</f>
        <v>0</v>
      </c>
      <c r="F4" s="7" t="n">
        <f aca="false">COUNTIFS('Casos de prueba'!$B$2:$B$63,$A4,'Casos de prueba'!$J$2:$J$63,"No aplica")</f>
        <v>0</v>
      </c>
      <c r="G4" s="7" t="n">
        <f aca="false">B4-SUM(C4:F4)</f>
        <v>28</v>
      </c>
      <c r="H4" s="8" t="n">
        <f aca="false">IF(B4=0,0,C4/B4)</f>
        <v>0</v>
      </c>
    </row>
    <row r="5" customFormat="false" ht="15" hidden="false" customHeight="false" outlineLevel="0" collapsed="false">
      <c r="A5" s="7" t="s">
        <v>325</v>
      </c>
      <c r="B5" s="7" t="n">
        <f aca="false">COUNTIF('Casos de prueba'!$B$2:$B$63,A5)</f>
        <v>12</v>
      </c>
      <c r="C5" s="7" t="n">
        <f aca="false">COUNTIFS('Casos de prueba'!$B$2:$B$63,$A5,'Casos de prueba'!$J$2:$J$63,"OK")</f>
        <v>0</v>
      </c>
      <c r="D5" s="7" t="n">
        <f aca="false">COUNTIFS('Casos de prueba'!$B$2:$B$63,$A5,'Casos de prueba'!$J$2:$J$63,"Corrección")</f>
        <v>0</v>
      </c>
      <c r="E5" s="7" t="n">
        <f aca="false">COUNTIFS('Casos de prueba'!$B$2:$B$63,$A5,'Casos de prueba'!$J$2:$J$63,"Pendiente")</f>
        <v>0</v>
      </c>
      <c r="F5" s="7" t="n">
        <f aca="false">COUNTIFS('Casos de prueba'!$B$2:$B$63,$A5,'Casos de prueba'!$J$2:$J$63,"No aplica")</f>
        <v>0</v>
      </c>
      <c r="G5" s="7" t="n">
        <f aca="false">B5-SUM(C5:F5)</f>
        <v>12</v>
      </c>
      <c r="H5" s="8" t="n">
        <f aca="false">IF(B5=0,0,C5/B5)</f>
        <v>0</v>
      </c>
    </row>
    <row r="6" customFormat="false" ht="15" hidden="false" customHeight="false" outlineLevel="0" collapsed="false">
      <c r="A6" s="9" t="s">
        <v>447</v>
      </c>
      <c r="B6" s="9" t="n">
        <f aca="false">SUM(B2:B5)</f>
        <v>62</v>
      </c>
      <c r="C6" s="9" t="n">
        <f aca="false">SUM(C2:C5)</f>
        <v>0</v>
      </c>
      <c r="D6" s="9" t="n">
        <f aca="false">SUM(D2:D5)</f>
        <v>0</v>
      </c>
      <c r="E6" s="9" t="n">
        <f aca="false">SUM(E2:E5)</f>
        <v>0</v>
      </c>
      <c r="F6" s="9" t="n">
        <f aca="false">SUM(F2:F5)</f>
        <v>0</v>
      </c>
      <c r="G6" s="9" t="n">
        <f aca="false">SUM(G2:G5)</f>
        <v>62</v>
      </c>
      <c r="H6" s="10" t="n">
        <f aca="false">IF(B6=0,0,C6/B6)</f>
        <v>0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7" t="s">
        <v>448</v>
      </c>
      <c r="B8" s="7" t="n">
        <f aca="false">COUNTA('Regresión acumulada'!$A$2:$A$8)</f>
        <v>7</v>
      </c>
      <c r="C8" s="7"/>
      <c r="D8" s="7"/>
      <c r="E8" s="7"/>
      <c r="F8" s="7"/>
      <c r="G8" s="7"/>
      <c r="H8" s="7"/>
    </row>
    <row r="9" customFormat="false" ht="15" hidden="false" customHeight="false" outlineLevel="0" collapsed="false">
      <c r="A9" s="7" t="s">
        <v>449</v>
      </c>
      <c r="B9" s="7" t="n">
        <f aca="false">COUNTIF('Regresión acumulada'!$E$2:$E$8,"OK")</f>
        <v>0</v>
      </c>
      <c r="C9" s="7"/>
      <c r="D9" s="7"/>
      <c r="E9" s="7"/>
      <c r="F9" s="7"/>
      <c r="G9" s="7"/>
      <c r="H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2026-10-24T19:19:27Z</dcterms:created>
  <dc:creator>openpyxl</dc:creator>
  <dc:description/>
  <dc:language>en-US</dc:language>
  <cp:lastModifiedBy/>
  <dcterms:modified xsi:type="dcterms:W3CDTF">2026-10-24T19:19:27Z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